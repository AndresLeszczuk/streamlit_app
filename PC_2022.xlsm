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f7a09ca26f8d4683" Type="http://schemas.microsoft.com/office/2007/relationships/ui/extensibility" Target="customUI/customUI14.xml"/><Relationship Id="R147fdf9b3ba041cb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chu\Documents\Python\Streamlit\Excel\"/>
    </mc:Choice>
  </mc:AlternateContent>
  <xr:revisionPtr revIDLastSave="0" documentId="13_ncr:1_{D9F3AA8D-CCA8-4AA8-807A-71C688D8F91B}" xr6:coauthVersionLast="47" xr6:coauthVersionMax="47" xr10:uidLastSave="{00000000-0000-0000-0000-000000000000}"/>
  <bookViews>
    <workbookView xWindow="28680" yWindow="-120" windowWidth="20730" windowHeight="11160" tabRatio="845" firstSheet="8" activeTab="5" xr2:uid="{00000000-000D-0000-FFFF-FFFF00000000}"/>
  </bookViews>
  <sheets>
    <sheet name="Sitios" sheetId="1" r:id="rId1"/>
    <sheet name="Generales" sheetId="5" r:id="rId2"/>
    <sheet name="Frentes" sheetId="2" r:id="rId3"/>
    <sheet name="Modelos" sheetId="4" state="veryHidden" r:id="rId4"/>
    <sheet name="Carga Simulaciones" sheetId="150" r:id="rId5"/>
    <sheet name="Expansión_Fechas" sheetId="152" r:id="rId6"/>
    <sheet name="Gantt" sheetId="151" r:id="rId7"/>
    <sheet name="Resumen Volumen" sheetId="153" r:id="rId8"/>
    <sheet name="Resumen Facturación" sheetId="154" r:id="rId9"/>
    <sheet name="Detalles de las Simulaciones" sheetId="155" r:id="rId10"/>
    <sheet name="Sim_FACOIT00145P03149-149" sheetId="212" r:id="rId11"/>
    <sheet name="Sim_FACOIT00145P03150-150" sheetId="213" r:id="rId12"/>
    <sheet name="Sim_FACOIT00145P03161-161" sheetId="214" r:id="rId13"/>
    <sheet name="Sim_FACOIT00145P03135-135" sheetId="215" r:id="rId14"/>
    <sheet name="Sim_FACOIT00145P03157-157" sheetId="216" r:id="rId15"/>
    <sheet name="Sim_FACOIT00145P03158-158" sheetId="217" r:id="rId16"/>
    <sheet name="Sim_FACOIT00145P03162-162" sheetId="218" r:id="rId17"/>
    <sheet name="Sim_FACOIT00145P03219-219" sheetId="219" r:id="rId18"/>
    <sheet name="Sim_FACOIT00145P03220-220" sheetId="220" r:id="rId19"/>
    <sheet name="Sim_FACOIT00145P03160-160" sheetId="221" r:id="rId20"/>
  </sheets>
  <functionGroups builtInGroupCount="19"/>
  <externalReferences>
    <externalReference r:id="rId21"/>
  </externalReferences>
  <definedNames>
    <definedName name="NativeTimeline_Fecha">#N/A</definedName>
    <definedName name="NativeTimeline_Fecha1">#N/A</definedName>
    <definedName name="SegmentaciónDeDatos_Contratista">#N/A</definedName>
    <definedName name="SegmentaciónDeDatos_Contratista1">#N/A</definedName>
    <definedName name="SegmentaciónDeDatos_Rodal">#N/A</definedName>
    <definedName name="SegmentaciónDeDatos_Rodal1">#N/A</definedName>
    <definedName name="TablaFrentes" localSheetId="9">[1]!Costos_Maquina87[#All]</definedName>
    <definedName name="TablaFrentes">Costos_Maquina87[#All]</definedName>
    <definedName name="TablaGenerales" localSheetId="9">[1]!Datos_Generales[#All]</definedName>
    <definedName name="TablaGenerales">Datos_Generales[#All]</definedName>
    <definedName name="TablaModelos" localSheetId="9">[1]!Tabla14[#All]</definedName>
    <definedName name="TablaModelos">Tabla14[#All]</definedName>
    <definedName name="TablaSitios" localSheetId="9">[1]!Tabla4[#All]</definedName>
    <definedName name="TablaSitios">Tabla4[#All]</definedName>
  </definedNames>
  <calcPr calcId="191029"/>
  <pivotCaches>
    <pivotCache cacheId="0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27"/>
        <x15:timelineCacheRef r:id="rId2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E2" i="5" l="1"/>
  <c r="D2" i="5"/>
  <c r="D5" i="5"/>
  <c r="T2" i="5" l="1"/>
  <c r="Z2" i="5" l="1"/>
  <c r="V2" i="5"/>
  <c r="U2" i="5"/>
  <c r="G2" i="5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 II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Autor II:</t>
        </r>
        <r>
          <rPr>
            <sz val="9"/>
            <color indexed="81"/>
            <rFont val="Tahoma"/>
            <family val="2"/>
          </rPr>
          <t xml:space="preserve">
Tn/arb dividido por 0,89 para pasar a m3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A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Todo esto debe ser calculado con cuadros accesorios
</t>
        </r>
      </text>
    </comment>
  </commentList>
</comments>
</file>

<file path=xl/sharedStrings.xml><?xml version="1.0" encoding="utf-8"?>
<sst xmlns="http://schemas.openxmlformats.org/spreadsheetml/2006/main" count="2603" uniqueCount="462">
  <si>
    <t>Código del Sitio</t>
  </si>
  <si>
    <t>Polígono</t>
  </si>
  <si>
    <t>Superficie [ha]</t>
  </si>
  <si>
    <t>Especie</t>
  </si>
  <si>
    <t>N° de Plantas</t>
  </si>
  <si>
    <t>Volumen de árbol medio [m³/Árbol]</t>
  </si>
  <si>
    <t>Volumen por Hectárea [m³/ha]</t>
  </si>
  <si>
    <t>Altura media [m]</t>
  </si>
  <si>
    <t>DME [m]</t>
  </si>
  <si>
    <t>Pendiente [decimal]</t>
  </si>
  <si>
    <t>Volumen a cosechar [m³ totales]</t>
  </si>
  <si>
    <t>Precio contratante [$/m³]</t>
  </si>
  <si>
    <t>Proporción volumen aprovechado [%]</t>
  </si>
  <si>
    <t>Pinus taeda</t>
  </si>
  <si>
    <t>Tipo de Máquina</t>
  </si>
  <si>
    <t xml:space="preserve">Modelo </t>
  </si>
  <si>
    <t>Nombre [Fantasía]</t>
  </si>
  <si>
    <t>Cosecha</t>
  </si>
  <si>
    <t>Emsefor</t>
  </si>
  <si>
    <t>Tarea</t>
  </si>
  <si>
    <t xml:space="preserve">Actualización de costos </t>
  </si>
  <si>
    <t>Eficiencia Operacional</t>
  </si>
  <si>
    <t>Dias_Mes</t>
  </si>
  <si>
    <t>Horas_turno</t>
  </si>
  <si>
    <t>N_turnos</t>
  </si>
  <si>
    <t>TASA_SEGURO_ANUAL</t>
  </si>
  <si>
    <t>VA_MAQ</t>
  </si>
  <si>
    <t>VA_IMP</t>
  </si>
  <si>
    <t>VA_SIST_ROD_MAQ</t>
  </si>
  <si>
    <t>VA_SIST_ROD_IMP</t>
  </si>
  <si>
    <t>VIDA_UTIL_MAQ</t>
  </si>
  <si>
    <t>VIDA_UTIL_MAQ_AÑOS</t>
  </si>
  <si>
    <t>VIDA_UTIL_IMP</t>
  </si>
  <si>
    <t>VIDA_UTIL_IMP_AÑOS</t>
  </si>
  <si>
    <t>VIDA_UTIL_SROD_MAQ</t>
  </si>
  <si>
    <t>VIDA_UTIL_SROD_IMP</t>
  </si>
  <si>
    <t>FACT_ARREGLO_MEC</t>
  </si>
  <si>
    <t>FACT_VAR_RES</t>
  </si>
  <si>
    <t>CONS_COMB</t>
  </si>
  <si>
    <t>CONS_ACEITE_MOTOR</t>
  </si>
  <si>
    <t>CONS_ACEITE_TRANS</t>
  </si>
  <si>
    <t>CONS_ACEITE_HIDRA</t>
  </si>
  <si>
    <t>CONS_GRASA</t>
  </si>
  <si>
    <t>COSTO_HORA_FILTROS</t>
  </si>
  <si>
    <t>MANTENIMIENTO_ORUGAS_HORA</t>
  </si>
  <si>
    <t>MANGUERAS_HORA</t>
  </si>
  <si>
    <t>ANTIGÜEDAD_OPERARIO</t>
  </si>
  <si>
    <t>SALARIO_BASICO_MES</t>
  </si>
  <si>
    <t>ACEITE_CADENA_HORA</t>
  </si>
  <si>
    <t>ESPADA_HORA</t>
  </si>
  <si>
    <t>CADENA_HORA</t>
  </si>
  <si>
    <t>Segundo Raleo</t>
  </si>
  <si>
    <t>Corte</t>
  </si>
  <si>
    <t>Forwarder</t>
  </si>
  <si>
    <t>Extraccion</t>
  </si>
  <si>
    <t>Código</t>
  </si>
  <si>
    <t>Modelo</t>
  </si>
  <si>
    <t>Operación</t>
  </si>
  <si>
    <t>Modelo2</t>
  </si>
  <si>
    <t>Estado</t>
  </si>
  <si>
    <t>Cut-to-Length</t>
  </si>
  <si>
    <t>Harvester Rueda</t>
  </si>
  <si>
    <t>Primer Raleo</t>
  </si>
  <si>
    <t>Full-tree</t>
  </si>
  <si>
    <t>Feller-Buncher Oruga</t>
  </si>
  <si>
    <t>Tala Rasa</t>
  </si>
  <si>
    <t>Skidder</t>
  </si>
  <si>
    <t>Extracción</t>
  </si>
  <si>
    <t>Cargadora</t>
  </si>
  <si>
    <t>Carga</t>
  </si>
  <si>
    <t>131.7</t>
  </si>
  <si>
    <t>119.9</t>
  </si>
  <si>
    <t>110.8</t>
  </si>
  <si>
    <t>Harvester Oruga</t>
  </si>
  <si>
    <t>Procesador</t>
  </si>
  <si>
    <t>Proceso</t>
  </si>
  <si>
    <t>Tractor Autocargable</t>
  </si>
  <si>
    <t>=64.0391-17.4711*vol_m+19.0658*LN(vol_m)</t>
  </si>
  <si>
    <t>=67841/(1.59891*dme+1797.03)</t>
  </si>
  <si>
    <t>=60192/(2.322*dme+1532.65)</t>
  </si>
  <si>
    <t>=34488/(1.1195*dme+1312.25)</t>
  </si>
  <si>
    <t>TASA_INT_CAP_PROPIO</t>
  </si>
  <si>
    <t>PRES_COMB_SIVA</t>
  </si>
  <si>
    <t>PRES_ACEITE_MOTOR</t>
  </si>
  <si>
    <t>PRES_ACEITE_TRANS</t>
  </si>
  <si>
    <t>PRES_ACEITE_HIDRA</t>
  </si>
  <si>
    <t>PRES_GRASA</t>
  </si>
  <si>
    <t>Costo_Administrativo</t>
  </si>
  <si>
    <t>SEGURIDAD SOCIAL (LEY 24.241)</t>
  </si>
  <si>
    <t>ART</t>
  </si>
  <si>
    <t>SEGURIDAD SOCIAL (LEY 23.660)</t>
  </si>
  <si>
    <t xml:space="preserve">CARGA SOCIAL (12%) </t>
  </si>
  <si>
    <t>VACACIONES-ENFERMEDAD</t>
  </si>
  <si>
    <t>INSSJP (LEY 19.032)</t>
  </si>
  <si>
    <t>ASIGNACION FAMILIAR (LEY 24.714)</t>
  </si>
  <si>
    <t>SUELDO ANUAL COMPLEMENTARIO</t>
  </si>
  <si>
    <t xml:space="preserve">SEGURO DE VIDA OBLIGATORIO </t>
  </si>
  <si>
    <t xml:space="preserve">UNIFORME </t>
  </si>
  <si>
    <t>BOTIN DE SEGURIDAD</t>
  </si>
  <si>
    <t>GUANTE</t>
  </si>
  <si>
    <t xml:space="preserve">PROTECTOR AUDITIVO </t>
  </si>
  <si>
    <t xml:space="preserve">CASCO-CHALECO </t>
  </si>
  <si>
    <t>ALOJAMIENTO_DIA_PERSONA</t>
  </si>
  <si>
    <t>VIANDA_DIA</t>
  </si>
  <si>
    <t>AUSENTISMO</t>
  </si>
  <si>
    <t>PRECIO_ACEITE_CADENA</t>
  </si>
  <si>
    <t>4,5</t>
  </si>
  <si>
    <t>10,5</t>
  </si>
  <si>
    <t>Margen_ganancia</t>
  </si>
  <si>
    <t>MOVILIDAD_DIA</t>
  </si>
  <si>
    <t>SUPERVISION_PORCENTAJE</t>
  </si>
  <si>
    <t>TALLER_PORCENTAJE</t>
  </si>
  <si>
    <t>ADMINISTRACION_PORCENTAJE</t>
  </si>
  <si>
    <t>FW_Inter_1510</t>
  </si>
  <si>
    <t>DÓLAR-PESO</t>
  </si>
  <si>
    <t>FW_Pasto_1910</t>
  </si>
  <si>
    <t>Tarifa [$/m³]</t>
  </si>
  <si>
    <t>Rodal</t>
  </si>
  <si>
    <t>Inicio actividades</t>
  </si>
  <si>
    <t>Dias Corridos</t>
  </si>
  <si>
    <t>Fecha Fin</t>
  </si>
  <si>
    <t>Fecha Inicio</t>
  </si>
  <si>
    <t>Orden Intervención</t>
  </si>
  <si>
    <t>Contratista</t>
  </si>
  <si>
    <t>Fecha</t>
  </si>
  <si>
    <t>Costo
 [$/día]</t>
  </si>
  <si>
    <t>Total general</t>
  </si>
  <si>
    <t>EMSEFOR</t>
  </si>
  <si>
    <t>Volumen
 [m³]</t>
  </si>
  <si>
    <t>Costo de la intervención [$]</t>
  </si>
  <si>
    <t xml:space="preserve"> </t>
  </si>
  <si>
    <t>CA_Induf_JD160</t>
  </si>
  <si>
    <t>HV_Induf_KOM200_WTH616</t>
  </si>
  <si>
    <t>Tala rasa</t>
  </si>
  <si>
    <t>=69+140.13*vol_m+22.91*LN(vol_m)</t>
  </si>
  <si>
    <t>=156.2+61.3*LN(vol_m)+107.5*vol_m^2</t>
  </si>
  <si>
    <t>=8/((dme/57.34+dme/63.38+150/74.54+150/76.87+EXP(-1.43+0.97*LN(8)-0.59*LN(0.1085) )+EXP(-2.52+0.77*LN(8/(8.44/100)))+EXP(0.73+0.62*LN(8)-3.51*0.1085))/60)</t>
  </si>
  <si>
    <t>=-34.3*vol_m^2+80.32*vol_m+7.71</t>
  </si>
  <si>
    <t>=-2.847+137.537*vol_m-53.971*vol_m^2</t>
  </si>
  <si>
    <t>=12.5801+41.2672*vol_m</t>
  </si>
  <si>
    <t>=0.8104+142.2097*vol_m-45.0478*vol_m^2</t>
  </si>
  <si>
    <t>=13.8395+59.1729 *vol_m-17.2844*vol_m^2</t>
  </si>
  <si>
    <t>=95.033-40.011*vol_m+41.451*LN(vol_m)+2.25*PULP</t>
  </si>
  <si>
    <t>=-9.9067+153.4050*vol_m-119.4592*vol_m^2-21.0688*PULP+ 56.5995*vol_m*PULP</t>
  </si>
  <si>
    <t>=7.8505+96.8830*vol_m-36.8558*vol_m^2</t>
  </si>
  <si>
    <t>=vol_m/((10.43+47.45*vol_m+0.125*32.11+78.06/32.11+1.4/0.5+5.32*3-0.43*11.12)/3600)</t>
  </si>
  <si>
    <t>=72.2142*vol_m^0.7168</t>
  </si>
  <si>
    <t>=26.1118+ 74.7508*(vol_m)^2</t>
  </si>
  <si>
    <t>=88.4928+36.7428*LN(vol_m)</t>
  </si>
  <si>
    <t>=98.7652-20.9017*vol_m+56.4434*LN(vol_m)</t>
  </si>
  <si>
    <t>=82.7450+38.1597*LN(vol_m)</t>
  </si>
  <si>
    <t>=EXP(5.503-0.532*LN(dme)+1.313*LN(vol_m)+0.465*LN(144))</t>
  </si>
  <si>
    <t>=EXP(5.503-0.532*LN(dme)+1.313*LN(vol_m)+0.465*LN(96))</t>
  </si>
  <si>
    <t>=EXP(5.503-0.532*LN(dme)+1.313*LN(vol_m)+0.465*LN(128))</t>
  </si>
  <si>
    <t>=EXP(2.4+47.6*1/dme-349.5*1/dme^2+2.6*(1+pendiente)-0.53*1/vol_m)</t>
  </si>
  <si>
    <t>=38160/(0.989*dme+1377.22)</t>
  </si>
  <si>
    <t>Dcr Fundo</t>
  </si>
  <si>
    <t>La Aurora Celeste</t>
  </si>
  <si>
    <t>Don Hilario</t>
  </si>
  <si>
    <t>Sangrador</t>
  </si>
  <si>
    <t>MB HORAS</t>
  </si>
  <si>
    <t>FW_Induf_KOM_875_8x8</t>
  </si>
  <si>
    <t>HV_Pasto_KOM200F8_GUERRA680b</t>
  </si>
  <si>
    <t>HV_Pasto_JD_2154_WTH616</t>
  </si>
  <si>
    <t>HV_Pasto_KOM200F8_LM6000</t>
  </si>
  <si>
    <t>PR_Pasto_JD_2144_WTH616</t>
  </si>
  <si>
    <t>Car_Caterpillar 312</t>
  </si>
  <si>
    <t>Car_John Deere 120</t>
  </si>
  <si>
    <t>Car_John Deere 160</t>
  </si>
  <si>
    <t>Fell_John Deere 753 J</t>
  </si>
  <si>
    <t>Fell_Caterpillar 511</t>
  </si>
  <si>
    <t>Fw_JD1510</t>
  </si>
  <si>
    <t>Fw_Bertotto (tesis)</t>
  </si>
  <si>
    <t>Hv_JD160WTH414</t>
  </si>
  <si>
    <t>Hv_Doosan DX180 WTH 415</t>
  </si>
  <si>
    <t>Hv_Doosan 225 WTH 616</t>
  </si>
  <si>
    <t>Hv_CAT312LM5000</t>
  </si>
  <si>
    <t>Hv_John Deere 2154 WTH 616</t>
  </si>
  <si>
    <t>Hv_New Holland Valmet 370</t>
  </si>
  <si>
    <t>Hv_John Deere 160WTH414</t>
  </si>
  <si>
    <t>Hv_Logman 821H (tesis)</t>
  </si>
  <si>
    <t>Hv_John Deere 1070</t>
  </si>
  <si>
    <t>Pr_John Deere 160WTH616</t>
  </si>
  <si>
    <t>Pr_CAT31LM7000</t>
  </si>
  <si>
    <t>Pr_CAT320-WTH616</t>
  </si>
  <si>
    <t>Sk_John Deere 748H</t>
  </si>
  <si>
    <t>Sk_CAT 525C</t>
  </si>
  <si>
    <t>Sk_John Deere 548GIII</t>
  </si>
  <si>
    <t>Sk_John Deere 648H</t>
  </si>
  <si>
    <t>Sk_John Deere 648</t>
  </si>
  <si>
    <t>Tr_Valtra</t>
  </si>
  <si>
    <t>Duración [días]</t>
  </si>
  <si>
    <t>Volumen neto [m³]</t>
  </si>
  <si>
    <t>DAP [cm]</t>
  </si>
  <si>
    <t>Pariopá</t>
  </si>
  <si>
    <t>Horas_Uso_año</t>
  </si>
  <si>
    <t>HV_CastelF_HYUNDAY2020_Ponsse_H8</t>
  </si>
  <si>
    <t>CASTELFIDARDO _R41</t>
  </si>
  <si>
    <t>FACOIT00145P03161-161</t>
  </si>
  <si>
    <t>2022</t>
  </si>
  <si>
    <t>ago</t>
  </si>
  <si>
    <t>Total CASTELFIDARDO _R41</t>
  </si>
  <si>
    <t>Hv_PC200+Log 6000 (2022)</t>
  </si>
  <si>
    <t>=EXP(4.9345059-0.6966107*vol_m+1.0025011*LN(vol_m))</t>
  </si>
  <si>
    <t>Hv_PC200+Log 7000 (2022)</t>
  </si>
  <si>
    <t>=EXP(5.031924-0.346187*vol_m+0.79545*LN(vol_m))</t>
  </si>
  <si>
    <t>Hv_Hyundai 220 + H7 (2022)</t>
  </si>
  <si>
    <t>=vol_m/(EXP(3.3751849+0.5735432*vol_m+0.08384670*LN(vol_m))/3600)</t>
  </si>
  <si>
    <t>Hv_Hyundai 220 + Wth 616 (2022)</t>
  </si>
  <si>
    <t>=EXP(5.819493-1.515982*vol_m+1.900281*LN(vol_m))</t>
  </si>
  <si>
    <t>JD_1510 (2022)</t>
  </si>
  <si>
    <t>=EXP(6.0852983116-0.4095318312*LN(dme)-0.0001195927*dme)</t>
  </si>
  <si>
    <t>JD_1510_TRACK (2022)</t>
  </si>
  <si>
    <t>=EXP(6.0852983116-0.4095318312*LN(dme)-0.0001195927*dme-0.1206374051)</t>
  </si>
  <si>
    <t>JD_1910_(2022)</t>
  </si>
  <si>
    <t>=24/(EXP(4.9406444485+0.4642122115*LN(dme)-0.0003850088)/3600)</t>
  </si>
  <si>
    <t>JD_1910_TRACK (2022)</t>
  </si>
  <si>
    <t>=24/(EXP(4.8137324+0.4797697*LN(dme)-0.4184777)/3600)</t>
  </si>
  <si>
    <t>PonsseEK (2022)</t>
  </si>
  <si>
    <t>=22/(EXP(2.285506986-0.002484703*dme+1.078414202*LN(dme))/3600)</t>
  </si>
  <si>
    <t>PonsseBK (2022)</t>
  </si>
  <si>
    <t>=16/((683.45477+1.977021*dme)/3600)</t>
  </si>
  <si>
    <t>Komatsu 875 (2022)</t>
  </si>
  <si>
    <t>=EXP(8.0876125-0.7652615 *LN(dme))</t>
  </si>
  <si>
    <t>FACOST00105P10016-016</t>
  </si>
  <si>
    <t>INTERAMERICANA R31</t>
  </si>
  <si>
    <t>FACOST00129P05592-592</t>
  </si>
  <si>
    <t>FACOST00129P05603-603</t>
  </si>
  <si>
    <t>INDUFOR R93</t>
  </si>
  <si>
    <t>PELLEGRINI R82</t>
  </si>
  <si>
    <t>Las Palmas</t>
  </si>
  <si>
    <t>FACOST00136P01025-025</t>
  </si>
  <si>
    <t>FACOST00136P01026-026</t>
  </si>
  <si>
    <t>FACOST00136P01035-035</t>
  </si>
  <si>
    <t>PASTORI Ñ31</t>
  </si>
  <si>
    <t>FACOST00101P07232-232</t>
  </si>
  <si>
    <t>FACOST00101P07351-351</t>
  </si>
  <si>
    <t>FACOST00101P10370-370</t>
  </si>
  <si>
    <t>Rios Cué</t>
  </si>
  <si>
    <t>PASTORI ÑR34</t>
  </si>
  <si>
    <t>San Benito</t>
  </si>
  <si>
    <t>San Miguel</t>
  </si>
  <si>
    <t>PASTORI Ñ16</t>
  </si>
  <si>
    <t>CASTELFIDARDO R41</t>
  </si>
  <si>
    <t>FACOST00147P03161-161</t>
  </si>
  <si>
    <t>MCM R22</t>
  </si>
  <si>
    <t>Columna1</t>
  </si>
  <si>
    <t>Columna2</t>
  </si>
  <si>
    <t>INDUFOR_R93</t>
  </si>
  <si>
    <t>CA_Pasto_CAT320_FT</t>
  </si>
  <si>
    <t>SK_Pasto_JD748_FT</t>
  </si>
  <si>
    <t>MCM_R22</t>
  </si>
  <si>
    <t>INTERAMERICANA_R31</t>
  </si>
  <si>
    <t>FW_Pasto_1510_1</t>
  </si>
  <si>
    <t>HV_Pasto_JD703JH_FT_1</t>
  </si>
  <si>
    <t>HV_Pasto_JD210GLC_LM7000_1</t>
  </si>
  <si>
    <t>HV_Pasto_JD210GLC_LM7000_2</t>
  </si>
  <si>
    <t>FW_Pasto_1510_2</t>
  </si>
  <si>
    <t>HV_Pasto_JD210GLC_LM7000_3</t>
  </si>
  <si>
    <t>PASTORI _ÑR34</t>
  </si>
  <si>
    <t>FW_Pasto_1510_3</t>
  </si>
  <si>
    <t>FW_Pelle_1510_8x8</t>
  </si>
  <si>
    <t>PELLEGRINI_R82</t>
  </si>
  <si>
    <t>FW_PelleF_PONSSE_KE</t>
  </si>
  <si>
    <t>PASTORI_Ñ29</t>
  </si>
  <si>
    <t>FW_Pasto_1510_8X8_2</t>
  </si>
  <si>
    <t>PASTORI_ÑR31</t>
  </si>
  <si>
    <t>FW_Pasto_1510_8x8_4</t>
  </si>
  <si>
    <t>PR_Pasto_JD_2144_WTH616(FELLER)</t>
  </si>
  <si>
    <t>FW_CastelF_PONSSE_KE_1</t>
  </si>
  <si>
    <t>HV_CastelF_HYUNDAY2020_Ponsse_H8_1</t>
  </si>
  <si>
    <t>HV_Inter_CAT313_LM3000D_2</t>
  </si>
  <si>
    <t>FW_Pasto_1510_8X8_5</t>
  </si>
  <si>
    <t>HV_Pasto_KOMPC200_KOM S172</t>
  </si>
  <si>
    <t>FW_Pasto_1510_8X8_1</t>
  </si>
  <si>
    <t>HV_Pasto_KOMPC200_KOM S172_1</t>
  </si>
  <si>
    <t>FW_CastelF_PONSSE_KE</t>
  </si>
  <si>
    <t>HV_Inter_CAT314_LM3000D</t>
  </si>
  <si>
    <t>FW_Pasto_1510_8X8_6</t>
  </si>
  <si>
    <t>FSM_R51</t>
  </si>
  <si>
    <t>TA_FSM_180HP_PEN</t>
  </si>
  <si>
    <t>TA_FSM_180HP_PEN_3</t>
  </si>
  <si>
    <t>TA_FSM_180HP_PEN_2</t>
  </si>
  <si>
    <t>FW_FSM_1510_8x8</t>
  </si>
  <si>
    <t>HV_FSM_KOM200_370E</t>
  </si>
  <si>
    <t>HV_FSM_KOM200_WTH616</t>
  </si>
  <si>
    <t>Hv_Pelle_CAT_320_LM_7000</t>
  </si>
  <si>
    <t>Hv_Pelle_Dossan_DX225_WTH616</t>
  </si>
  <si>
    <t>HV_McmR22_HITACHI_WTH616</t>
  </si>
  <si>
    <t>HV_McmR22_JD_210_WTH616</t>
  </si>
  <si>
    <t>FW_McmR22_KOM_890_8x8</t>
  </si>
  <si>
    <t>FW_McmR22_JD1910_8x8</t>
  </si>
  <si>
    <t>TA_McmR22_180HP_TMO</t>
  </si>
  <si>
    <t>John deere 1910 (6x6)</t>
  </si>
  <si>
    <t>John Deere 2144_WTH616</t>
  </si>
  <si>
    <t>FW_Pasto_1510_6x6</t>
  </si>
  <si>
    <t>PASTORI_Ñ14</t>
  </si>
  <si>
    <t>PASTORI _Ñ141</t>
  </si>
  <si>
    <t>PASTORI _Ñ28</t>
  </si>
  <si>
    <t>PASTORI _Ñ16</t>
  </si>
  <si>
    <t>PASTORI_Ñ161</t>
  </si>
  <si>
    <t>PASTORI _Ñ161</t>
  </si>
  <si>
    <t>PASTORI _ÑR361</t>
  </si>
  <si>
    <t>FSM_R511</t>
  </si>
  <si>
    <t>PASTORI _Ñ151</t>
  </si>
  <si>
    <t>FACOST00105P10013-013</t>
  </si>
  <si>
    <t>FACOST00105P10027-027</t>
  </si>
  <si>
    <t>FACOST00101P08181-181</t>
  </si>
  <si>
    <t>FACOST00136P01012-012</t>
  </si>
  <si>
    <t>FACOST00137P03065-065</t>
  </si>
  <si>
    <t>FACOST00101P10373-373</t>
  </si>
  <si>
    <t>FACOST00101P10376-376</t>
  </si>
  <si>
    <t>FACOST00101P08179-179</t>
  </si>
  <si>
    <t>FACOST00136P01018-018</t>
  </si>
  <si>
    <t>FACOST00137P03066-066</t>
  </si>
  <si>
    <t>FACOST00137P03067-067</t>
  </si>
  <si>
    <t>FACOST00137P03068-068</t>
  </si>
  <si>
    <t>FACOST00113P98015-015</t>
  </si>
  <si>
    <t>FACOST00128P00007-007</t>
  </si>
  <si>
    <t>FACOST00128P00012-012</t>
  </si>
  <si>
    <t>FACOST00128P00017-017</t>
  </si>
  <si>
    <t>FACOST00128P00018-018</t>
  </si>
  <si>
    <t>FACOST00120P99040-040</t>
  </si>
  <si>
    <t>FACOST00137P03069-069</t>
  </si>
  <si>
    <t>FACOST00120P99060-060</t>
  </si>
  <si>
    <t>FACOST00120P99061-061</t>
  </si>
  <si>
    <t>FACOST00101P08115-115</t>
  </si>
  <si>
    <t>FACOST00129P02538-538</t>
  </si>
  <si>
    <t>FACOST00129P05574-574</t>
  </si>
  <si>
    <t>FACOST00129P05575-575</t>
  </si>
  <si>
    <t>FACOST00129P05576-576</t>
  </si>
  <si>
    <t>FACOST00129P05577-577</t>
  </si>
  <si>
    <t>FACOIT00145P03149-149</t>
  </si>
  <si>
    <t>FACOST00129P05579-579</t>
  </si>
  <si>
    <t>FACOST00129P05580-580</t>
  </si>
  <si>
    <t>FACOIT00145P03150-150</t>
  </si>
  <si>
    <t>FACOST00129P05584-584</t>
  </si>
  <si>
    <t>FACOIT00145P03135-135</t>
  </si>
  <si>
    <t>FACOIT00145P03157-157</t>
  </si>
  <si>
    <t>FACOIT00145P03158-158</t>
  </si>
  <si>
    <t>FACOIT00145P03162-162</t>
  </si>
  <si>
    <t>FACOIT00145P03219-219</t>
  </si>
  <si>
    <t>FACOIT00145P03220-220</t>
  </si>
  <si>
    <t>FACOIT00145P03160-160</t>
  </si>
  <si>
    <t>FACOST00147P03163-163</t>
  </si>
  <si>
    <t>FACOST00147P03165-165</t>
  </si>
  <si>
    <t>FACOST00147P03178-178</t>
  </si>
  <si>
    <t>FACOST00147P03179-179</t>
  </si>
  <si>
    <t>FACOST00127P01071-071</t>
  </si>
  <si>
    <t>FACOST00127P01079-079</t>
  </si>
  <si>
    <t>FACOST00127P01082-082</t>
  </si>
  <si>
    <t>FACOST00129P05601-601</t>
  </si>
  <si>
    <t>FACOST00129P05602-602</t>
  </si>
  <si>
    <t>FACOST00129P05604-604</t>
  </si>
  <si>
    <t>Cambyretá</t>
  </si>
  <si>
    <t>La Marta</t>
  </si>
  <si>
    <t>FTAL SAN MATEO R51</t>
  </si>
  <si>
    <t>PASTORI Ñ28</t>
  </si>
  <si>
    <t>PASTORI Ñ14</t>
  </si>
  <si>
    <t>PASTORI Ñ29</t>
  </si>
  <si>
    <t>Don Paulino - San Miguel</t>
  </si>
  <si>
    <t>Simulación</t>
  </si>
  <si>
    <t>Producción [m³/mes]</t>
  </si>
  <si>
    <t>Costo bruto [$/m³]</t>
  </si>
  <si>
    <t>Tarifa antes de impuestos [$/m³]</t>
  </si>
  <si>
    <t>Tarifa con impuestos [$/m³]</t>
  </si>
  <si>
    <t>Costo Fijo Total [$/m³]</t>
  </si>
  <si>
    <t>Costo Variable Total [$/m³]</t>
  </si>
  <si>
    <t>Margen de Ganancia [$/m³]</t>
  </si>
  <si>
    <t>Total INDUFOR_R93</t>
  </si>
  <si>
    <t>Resultado de la simulación</t>
  </si>
  <si>
    <t>Forestal Bosques del Plata S.A.</t>
  </si>
  <si>
    <t>Simulador de Cosecha Forestal</t>
  </si>
  <si>
    <t>Versión exclusiva 2021</t>
  </si>
  <si>
    <t>Frente</t>
  </si>
  <si>
    <t>Fdo.: La Aurora Celeste</t>
  </si>
  <si>
    <t>Sitio</t>
  </si>
  <si>
    <t>Superficie (ha)</t>
  </si>
  <si>
    <t>Volumen total (m³)</t>
  </si>
  <si>
    <t>Volumen medio (m³/árbol)</t>
  </si>
  <si>
    <t>Distancia de extracción (m)</t>
  </si>
  <si>
    <t>Actividad</t>
  </si>
  <si>
    <t>Máquina</t>
  </si>
  <si>
    <t>Turnos</t>
  </si>
  <si>
    <t>Horas</t>
  </si>
  <si>
    <t>Eficiencia (%)</t>
  </si>
  <si>
    <t>Productividad (m³/h.ef)</t>
  </si>
  <si>
    <t>Productividad real (m³/h)</t>
  </si>
  <si>
    <t>Producción (m³/mes)</t>
  </si>
  <si>
    <t>Costo fijo ($/mes)</t>
  </si>
  <si>
    <t>Costo variable ($/mes)</t>
  </si>
  <si>
    <t>Costo total ($/mes)</t>
  </si>
  <si>
    <t>Producción</t>
  </si>
  <si>
    <t>Actividad limitante</t>
  </si>
  <si>
    <t>Balance (%)</t>
  </si>
  <si>
    <t>No Limitante</t>
  </si>
  <si>
    <t>Limitante</t>
  </si>
  <si>
    <t>Producción del equipo de cosecha (m³/mes)</t>
  </si>
  <si>
    <t>Volumen del lote (m³)</t>
  </si>
  <si>
    <t>Días de cosecha</t>
  </si>
  <si>
    <t>Tarifa ($/m³)</t>
  </si>
  <si>
    <t>Costos fijos totales ($/mes)</t>
  </si>
  <si>
    <t>Costos variables totales ($/mes)</t>
  </si>
  <si>
    <t>Costos totales ($/mes)</t>
  </si>
  <si>
    <t>Producción en el punto de equilibrio (m³)</t>
  </si>
  <si>
    <t>Porcentaje en el punto de equilibrio (%)</t>
  </si>
  <si>
    <t>Costo bruto de producción ($/m³)</t>
  </si>
  <si>
    <t>Costo de producción y administración ($/m³)</t>
  </si>
  <si>
    <t>Margen de ganancia antes de impuesto ($/m³)</t>
  </si>
  <si>
    <t>Tarifa del servicio antes de impuestos ($/m³)</t>
  </si>
  <si>
    <t>Beneficio ($/m³)</t>
  </si>
  <si>
    <t>Costos fijos ($/mes)</t>
  </si>
  <si>
    <t>Intereses ($/mes)</t>
  </si>
  <si>
    <t>Seguros ($/mes)</t>
  </si>
  <si>
    <t>Depreciación ($/mes)</t>
  </si>
  <si>
    <t>Operario ($/mes)</t>
  </si>
  <si>
    <t>Costos Variables ($/mes)</t>
  </si>
  <si>
    <t>Sistema rodante ($/mes)</t>
  </si>
  <si>
    <t>Repuestos ($/mes)</t>
  </si>
  <si>
    <t>Combustible ($/mes)</t>
  </si>
  <si>
    <t>Consumibles ($/mes)</t>
  </si>
  <si>
    <t>Costos frente de cosecha ($/mes)</t>
  </si>
  <si>
    <t>Movilidad</t>
  </si>
  <si>
    <t>Supervisión</t>
  </si>
  <si>
    <t>Taller</t>
  </si>
  <si>
    <t>Alojamiento y Comida</t>
  </si>
  <si>
    <t>Administración</t>
  </si>
  <si>
    <t>Costos fijos por lote($)</t>
  </si>
  <si>
    <t>Intereses($)</t>
  </si>
  <si>
    <t>Seguros($)</t>
  </si>
  <si>
    <t>Depreciación($)</t>
  </si>
  <si>
    <t>Operario($)</t>
  </si>
  <si>
    <t>Costos Variables por lote ($)</t>
  </si>
  <si>
    <t>Sistema rodante ($)</t>
  </si>
  <si>
    <t>Repuestos ($)</t>
  </si>
  <si>
    <t>Combustible ($)</t>
  </si>
  <si>
    <t>Consumibles ($)</t>
  </si>
  <si>
    <t>Costos frente de cosecha por lote ($)</t>
  </si>
  <si>
    <t>Movilidad ($)</t>
  </si>
  <si>
    <t>Supervisión ($)</t>
  </si>
  <si>
    <t>Taller ($)</t>
  </si>
  <si>
    <t>Alojamiento y Comida ($)</t>
  </si>
  <si>
    <t>Administración ($)</t>
  </si>
  <si>
    <t>Costos fijos por lote($/m³)</t>
  </si>
  <si>
    <t>Intereses($/m³)</t>
  </si>
  <si>
    <t>Seguros($/m³)</t>
  </si>
  <si>
    <t>Depreciación($/m³)</t>
  </si>
  <si>
    <t>Operario($/m³)</t>
  </si>
  <si>
    <t>Costos variables por lote ($/m³)</t>
  </si>
  <si>
    <t>Sistema rodante ($/m³)</t>
  </si>
  <si>
    <t>Repuestos ($/m³)</t>
  </si>
  <si>
    <t>Combustible ($/m³)</t>
  </si>
  <si>
    <t>Consumibles ($/m³)</t>
  </si>
  <si>
    <t>Costos frente de cosecha ($/m³)</t>
  </si>
  <si>
    <t>Movilidad ($/m³)</t>
  </si>
  <si>
    <t>Supervisión ($/m³)</t>
  </si>
  <si>
    <t>Taller ($/m³)</t>
  </si>
  <si>
    <t>Alojamiento y Comida ($/m³)</t>
  </si>
  <si>
    <t>Administración ($/m³)</t>
  </si>
  <si>
    <t>Simulacion_Castel_Fidardo.xlsx</t>
  </si>
  <si>
    <t>Simulacion_INDUFOR.xlsx</t>
  </si>
  <si>
    <t>Volumen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</si>
</sst>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[$-C0A]mmm\-yy;@"/>
    <numFmt numFmtId="166" formatCode="_-* #,##0_-;\-* #,##0_-;_-* &quot;-&quot;??_-;_-@_-"/>
    <numFmt numFmtId="167" formatCode="_-[$$-2C0A]\ * #,##0_-;\-[$$-2C0A]\ * #,##0_-;_-[$$-2C0A]\ * &quot;-&quot;??_-;_-@_-"/>
    <numFmt numFmtId="168" formatCode="0.0000"/>
  </numFmts>
  <fonts count="1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  <charset val="1"/>
    </font>
    <font>
      <sz val="12"/>
      <color theme="0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9FF0D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67955565050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ck">
        <color indexed="64"/>
      </left>
      <right style="thick">
        <color indexed="64"/>
      </right>
      <top/>
      <bottom style="medium">
        <color auto="1"/>
      </bottom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0" fontId="3" fillId="4" borderId="0" applyNumberFormat="0" applyBorder="0" applyAlignment="0" applyProtection="0"/>
    <xf numFmtId="9" fontId="6" fillId="0" borderId="0" applyFont="0" applyFill="0" applyBorder="0" applyAlignment="0" applyProtection="0"/>
    <xf numFmtId="0" fontId="8" fillId="0" borderId="0" applyBorder="0" applyProtection="0">
      <alignment horizontal="left"/>
    </xf>
    <xf numFmtId="0" fontId="10" fillId="0" borderId="0"/>
  </cellStyleXfs>
  <cellXfs count="170">
    <xf numFmtId="0" fontId="0" fillId="0" borderId="0" xfId="0"/>
    <xf numFmtId="14" fontId="0" fillId="0" borderId="0" xfId="0" applyNumberFormat="1"/>
    <xf numFmtId="0" fontId="3" fillId="2" borderId="0" xfId="0" applyFont="1" applyFill="1" applyAlignment="1">
      <alignment horizontal="center" wrapText="1"/>
    </xf>
    <xf numFmtId="0" fontId="0" fillId="3" borderId="0" xfId="0" applyFill="1"/>
    <xf numFmtId="0" fontId="0" fillId="0" borderId="1" xfId="0" applyBorder="1"/>
    <xf numFmtId="0" fontId="0" fillId="0" borderId="0" xfId="0" quotePrefix="1"/>
    <xf numFmtId="0" fontId="0" fillId="0" borderId="2" xfId="0" applyBorder="1"/>
    <xf numFmtId="0" fontId="0" fillId="0" borderId="3" xfId="0" applyBorder="1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3" xfId="0" applyFont="1" applyBorder="1"/>
    <xf numFmtId="0" fontId="0" fillId="0" borderId="5" xfId="0" applyFont="1" applyBorder="1"/>
    <xf numFmtId="0" fontId="0" fillId="0" borderId="0" xfId="0" applyBorder="1"/>
    <xf numFmtId="0" fontId="0" fillId="3" borderId="0" xfId="0" applyFill="1" applyBorder="1"/>
    <xf numFmtId="0" fontId="0" fillId="0" borderId="0" xfId="0" quotePrefix="1" applyBorder="1"/>
    <xf numFmtId="0" fontId="0" fillId="0" borderId="0" xfId="0" applyAlignment="1">
      <alignment horizontal="center"/>
    </xf>
    <xf numFmtId="2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5" fillId="0" borderId="0" xfId="0" applyFont="1"/>
    <xf numFmtId="0" fontId="0" fillId="0" borderId="0" xfId="0" applyProtection="1">
      <protection locked="0"/>
    </xf>
    <xf numFmtId="43" fontId="0" fillId="0" borderId="0" xfId="1" applyFont="1"/>
    <xf numFmtId="166" fontId="0" fillId="0" borderId="0" xfId="0" applyNumberFormat="1"/>
    <xf numFmtId="166" fontId="0" fillId="0" borderId="0" xfId="0" applyNumberFormat="1" applyAlignment="1">
      <alignment horizontal="left"/>
    </xf>
    <xf numFmtId="165" fontId="0" fillId="0" borderId="0" xfId="0" pivotButton="1" applyNumberFormat="1"/>
    <xf numFmtId="165" fontId="0" fillId="0" borderId="0" xfId="0" applyNumberFormat="1"/>
    <xf numFmtId="166" fontId="0" fillId="0" borderId="0" xfId="0" pivotButton="1" applyNumberFormat="1"/>
    <xf numFmtId="167" fontId="0" fillId="0" borderId="0" xfId="0" applyNumberFormat="1"/>
    <xf numFmtId="4" fontId="0" fillId="0" borderId="8" xfId="0" applyNumberFormat="1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168" fontId="0" fillId="0" borderId="0" xfId="0" applyNumberFormat="1" applyAlignment="1">
      <alignment horizontal="center"/>
    </xf>
    <xf numFmtId="0" fontId="0" fillId="5" borderId="0" xfId="0" applyFill="1"/>
    <xf numFmtId="0" fontId="0" fillId="5" borderId="0" xfId="0" applyFill="1" applyProtection="1">
      <protection locked="0"/>
    </xf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2" borderId="6" xfId="0" applyFont="1" applyFill="1" applyBorder="1"/>
    <xf numFmtId="0" fontId="3" fillId="2" borderId="7" xfId="0" applyFont="1" applyFill="1" applyBorder="1"/>
    <xf numFmtId="0" fontId="0" fillId="5" borderId="2" xfId="0" applyFill="1" applyBorder="1" applyProtection="1">
      <protection locked="0"/>
    </xf>
    <xf numFmtId="14" fontId="0" fillId="5" borderId="0" xfId="0" applyNumberFormat="1" applyFill="1" applyAlignment="1" applyProtection="1">
      <alignment horizontal="center"/>
      <protection locked="0"/>
    </xf>
    <xf numFmtId="1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4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5" fillId="5" borderId="0" xfId="0" applyFont="1" applyFill="1" applyProtection="1">
      <protection locked="0"/>
    </xf>
    <xf numFmtId="0" fontId="0" fillId="5" borderId="4" xfId="0" applyFill="1" applyBorder="1" applyProtection="1">
      <protection locked="0"/>
    </xf>
    <xf numFmtId="9" fontId="0" fillId="0" borderId="0" xfId="3" applyFont="1"/>
    <xf numFmtId="0" fontId="0" fillId="7" borderId="0" xfId="0" applyFill="1" applyAlignment="1">
      <alignment horizontal="center"/>
    </xf>
    <xf numFmtId="43" fontId="0" fillId="7" borderId="0" xfId="1" applyFont="1" applyFill="1"/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166" fontId="0" fillId="0" borderId="0" xfId="1" applyNumberFormat="1" applyFont="1"/>
    <xf numFmtId="166" fontId="0" fillId="0" borderId="8" xfId="0" applyNumberFormat="1" applyBorder="1" applyAlignment="1">
      <alignment horizontal="center" vertical="top"/>
    </xf>
    <xf numFmtId="166" fontId="0" fillId="0" borderId="0" xfId="1" applyNumberFormat="1" applyFont="1" applyAlignment="1">
      <alignment horizontal="center"/>
    </xf>
    <xf numFmtId="164" fontId="0" fillId="0" borderId="8" xfId="0" applyNumberFormat="1" applyBorder="1" applyAlignment="1">
      <alignment vertical="top"/>
    </xf>
    <xf numFmtId="164" fontId="0" fillId="0" borderId="9" xfId="0" applyNumberFormat="1" applyBorder="1" applyAlignment="1">
      <alignment vertical="top"/>
    </xf>
    <xf numFmtId="1" fontId="0" fillId="0" borderId="8" xfId="0" applyNumberFormat="1" applyBorder="1" applyAlignment="1">
      <alignment vertical="top"/>
    </xf>
    <xf numFmtId="1" fontId="0" fillId="0" borderId="9" xfId="0" applyNumberFormat="1" applyBorder="1" applyAlignment="1">
      <alignment vertical="top"/>
    </xf>
    <xf numFmtId="1" fontId="0" fillId="0" borderId="8" xfId="0" applyNumberFormat="1" applyBorder="1"/>
    <xf numFmtId="1" fontId="0" fillId="0" borderId="9" xfId="0" applyNumberFormat="1" applyBorder="1"/>
    <xf numFmtId="1" fontId="0" fillId="0" borderId="8" xfId="0" applyNumberFormat="1" applyBorder="1" applyAlignment="1">
      <alignment horizontal="center" vertical="top"/>
    </xf>
    <xf numFmtId="0" fontId="0" fillId="8" borderId="8" xfId="0" applyFill="1" applyBorder="1" applyAlignment="1">
      <alignment vertical="top"/>
    </xf>
    <xf numFmtId="1" fontId="0" fillId="8" borderId="8" xfId="0" applyNumberFormat="1" applyFill="1" applyBorder="1" applyAlignment="1">
      <alignment vertical="top"/>
    </xf>
    <xf numFmtId="164" fontId="0" fillId="8" borderId="8" xfId="0" applyNumberFormat="1" applyFill="1" applyBorder="1" applyAlignment="1">
      <alignment vertical="top"/>
    </xf>
    <xf numFmtId="43" fontId="0" fillId="8" borderId="0" xfId="1" applyFont="1" applyFill="1"/>
    <xf numFmtId="9" fontId="0" fillId="8" borderId="0" xfId="3" applyFont="1" applyFill="1"/>
    <xf numFmtId="166" fontId="0" fillId="7" borderId="0" xfId="1" applyNumberFormat="1" applyFont="1" applyFill="1"/>
    <xf numFmtId="0" fontId="3" fillId="6" borderId="0" xfId="0" applyFont="1" applyFill="1"/>
    <xf numFmtId="14" fontId="0" fillId="0" borderId="0" xfId="0" applyNumberFormat="1"/>
    <xf numFmtId="0" fontId="9" fillId="2" borderId="0" xfId="0" applyFont="1" applyFill="1" applyAlignment="1">
      <alignment horizontal="center" vertical="center" wrapText="1"/>
    </xf>
    <xf numFmtId="1" fontId="0" fillId="11" borderId="0" xfId="0" applyNumberFormat="1" applyFill="1" applyProtection="1">
      <protection locked="0"/>
    </xf>
    <xf numFmtId="0" fontId="0" fillId="9" borderId="0" xfId="0" applyFill="1" applyProtection="1">
      <protection locked="0"/>
    </xf>
    <xf numFmtId="0" fontId="0" fillId="9" borderId="2" xfId="0" applyFill="1" applyBorder="1" applyProtection="1">
      <protection locked="0"/>
    </xf>
    <xf numFmtId="0" fontId="0" fillId="9" borderId="4" xfId="0" applyFill="1" applyBorder="1"/>
    <xf numFmtId="0" fontId="0" fillId="12" borderId="0" xfId="0" applyFill="1" applyProtection="1">
      <protection locked="0"/>
    </xf>
    <xf numFmtId="0" fontId="0" fillId="12" borderId="2" xfId="0" applyFill="1" applyBorder="1" applyProtection="1">
      <protection locked="0"/>
    </xf>
    <xf numFmtId="14" fontId="0" fillId="12" borderId="0" xfId="0" applyNumberFormat="1" applyFill="1" applyAlignment="1" applyProtection="1">
      <alignment horizontal="center"/>
      <protection locked="0"/>
    </xf>
    <xf numFmtId="1" fontId="0" fillId="12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2" xfId="0" applyFill="1" applyBorder="1" applyProtection="1">
      <protection locked="0"/>
    </xf>
    <xf numFmtId="14" fontId="0" fillId="0" borderId="0" xfId="0" applyNumberFormat="1" applyFill="1" applyAlignment="1" applyProtection="1">
      <alignment horizontal="center"/>
      <protection locked="0"/>
    </xf>
    <xf numFmtId="1" fontId="0" fillId="0" borderId="0" xfId="0" applyNumberFormat="1" applyFill="1" applyProtection="1">
      <protection locked="0"/>
    </xf>
    <xf numFmtId="2" fontId="0" fillId="0" borderId="0" xfId="0" applyNumberFormat="1" applyFill="1" applyProtection="1">
      <protection locked="0"/>
    </xf>
    <xf numFmtId="164" fontId="0" fillId="0" borderId="0" xfId="0" applyNumberForma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Protection="1">
      <protection locked="0"/>
    </xf>
    <xf numFmtId="0" fontId="0" fillId="0" borderId="0" xfId="0" applyFill="1"/>
    <xf numFmtId="0" fontId="11" fillId="5" borderId="4" xfId="0" applyFont="1" applyFill="1" applyBorder="1" applyProtection="1">
      <protection locked="0"/>
    </xf>
    <xf numFmtId="0" fontId="11" fillId="5" borderId="0" xfId="0" applyFont="1" applyFill="1" applyProtection="1">
      <protection locked="0"/>
    </xf>
    <xf numFmtId="14" fontId="11" fillId="5" borderId="0" xfId="0" applyNumberFormat="1" applyFont="1" applyFill="1" applyAlignment="1" applyProtection="1">
      <alignment horizontal="center"/>
      <protection locked="0"/>
    </xf>
    <xf numFmtId="1" fontId="11" fillId="5" borderId="0" xfId="0" applyNumberFormat="1" applyFont="1" applyFill="1" applyProtection="1">
      <protection locked="0"/>
    </xf>
    <xf numFmtId="2" fontId="11" fillId="5" borderId="0" xfId="0" applyNumberFormat="1" applyFont="1" applyFill="1" applyProtection="1">
      <protection locked="0"/>
    </xf>
    <xf numFmtId="164" fontId="11" fillId="5" borderId="0" xfId="0" applyNumberFormat="1" applyFont="1" applyFill="1" applyProtection="1"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11" fillId="5" borderId="0" xfId="0" applyFont="1" applyFill="1"/>
    <xf numFmtId="0" fontId="11" fillId="0" borderId="0" xfId="0" applyFont="1"/>
    <xf numFmtId="0" fontId="11" fillId="5" borderId="2" xfId="0" applyFont="1" applyFill="1" applyBorder="1" applyProtection="1">
      <protection locked="0"/>
    </xf>
    <xf numFmtId="0" fontId="11" fillId="0" borderId="0" xfId="0" applyFont="1" applyProtection="1">
      <protection locked="0"/>
    </xf>
    <xf numFmtId="0" fontId="11" fillId="11" borderId="4" xfId="0" applyFont="1" applyFill="1" applyBorder="1" applyProtection="1">
      <protection locked="0"/>
    </xf>
    <xf numFmtId="0" fontId="11" fillId="11" borderId="2" xfId="0" applyFont="1" applyFill="1" applyBorder="1" applyProtection="1">
      <protection locked="0"/>
    </xf>
    <xf numFmtId="0" fontId="11" fillId="11" borderId="0" xfId="0" applyFont="1" applyFill="1" applyProtection="1">
      <protection locked="0"/>
    </xf>
    <xf numFmtId="14" fontId="11" fillId="11" borderId="0" xfId="0" applyNumberFormat="1" applyFont="1" applyFill="1" applyAlignment="1" applyProtection="1">
      <alignment horizontal="center"/>
      <protection locked="0"/>
    </xf>
    <xf numFmtId="1" fontId="11" fillId="11" borderId="0" xfId="0" applyNumberFormat="1" applyFont="1" applyFill="1" applyProtection="1">
      <protection locked="0"/>
    </xf>
    <xf numFmtId="164" fontId="11" fillId="11" borderId="0" xfId="0" applyNumberFormat="1" applyFont="1" applyFill="1" applyProtection="1">
      <protection locked="0"/>
    </xf>
    <xf numFmtId="0" fontId="11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Protection="1">
      <protection locked="0"/>
    </xf>
    <xf numFmtId="0" fontId="11" fillId="11" borderId="0" xfId="0" applyFont="1" applyFill="1"/>
    <xf numFmtId="0" fontId="11" fillId="13" borderId="0" xfId="0" applyFont="1" applyFill="1" applyProtection="1">
      <protection locked="0"/>
    </xf>
    <xf numFmtId="0" fontId="11" fillId="10" borderId="0" xfId="0" applyFont="1" applyFill="1" applyProtection="1">
      <protection locked="0"/>
    </xf>
    <xf numFmtId="0" fontId="11" fillId="10" borderId="2" xfId="0" applyFont="1" applyFill="1" applyBorder="1" applyProtection="1">
      <protection locked="0"/>
    </xf>
    <xf numFmtId="14" fontId="11" fillId="10" borderId="0" xfId="0" applyNumberFormat="1" applyFont="1" applyFill="1" applyAlignment="1" applyProtection="1">
      <alignment horizontal="center"/>
      <protection locked="0"/>
    </xf>
    <xf numFmtId="1" fontId="11" fillId="10" borderId="0" xfId="0" applyNumberFormat="1" applyFont="1" applyFill="1" applyProtection="1">
      <protection locked="0"/>
    </xf>
    <xf numFmtId="2" fontId="11" fillId="10" borderId="0" xfId="0" applyNumberFormat="1" applyFont="1" applyFill="1" applyProtection="1">
      <protection locked="0"/>
    </xf>
    <xf numFmtId="164" fontId="11" fillId="10" borderId="0" xfId="0" applyNumberFormat="1" applyFont="1" applyFill="1" applyProtection="1">
      <protection locked="0"/>
    </xf>
    <xf numFmtId="0" fontId="11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Protection="1">
      <protection locked="0"/>
    </xf>
    <xf numFmtId="0" fontId="11" fillId="10" borderId="0" xfId="0" applyFont="1" applyFill="1"/>
    <xf numFmtId="0" fontId="11" fillId="0" borderId="4" xfId="0" applyFont="1" applyBorder="1" applyProtection="1">
      <protection locked="0"/>
    </xf>
    <xf numFmtId="0" fontId="11" fillId="0" borderId="2" xfId="0" applyFont="1" applyBorder="1" applyProtection="1">
      <protection locked="0"/>
    </xf>
    <xf numFmtId="14" fontId="11" fillId="0" borderId="0" xfId="0" applyNumberFormat="1" applyFont="1" applyAlignment="1" applyProtection="1">
      <alignment horizontal="center"/>
      <protection locked="0"/>
    </xf>
    <xf numFmtId="1" fontId="11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164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1" fillId="9" borderId="2" xfId="0" applyFont="1" applyFill="1" applyBorder="1" applyProtection="1">
      <protection locked="0"/>
    </xf>
    <xf numFmtId="0" fontId="11" fillId="9" borderId="0" xfId="0" applyFont="1" applyFill="1" applyProtection="1">
      <protection locked="0"/>
    </xf>
    <xf numFmtId="0" fontId="11" fillId="9" borderId="4" xfId="0" applyFont="1" applyFill="1" applyBorder="1"/>
    <xf numFmtId="0" fontId="11" fillId="10" borderId="4" xfId="0" applyFont="1" applyFill="1" applyBorder="1" applyProtection="1">
      <protection locked="0"/>
    </xf>
    <xf numFmtId="0" fontId="0" fillId="14" borderId="4" xfId="0" applyFill="1" applyBorder="1" applyProtection="1">
      <protection locked="0"/>
    </xf>
    <xf numFmtId="0" fontId="0" fillId="14" borderId="4" xfId="0" applyFill="1" applyBorder="1"/>
    <xf numFmtId="0" fontId="0" fillId="14" borderId="0" xfId="0" applyFill="1" applyProtection="1">
      <protection locked="0"/>
    </xf>
    <xf numFmtId="14" fontId="0" fillId="14" borderId="0" xfId="0" applyNumberFormat="1" applyFill="1" applyAlignment="1" applyProtection="1">
      <alignment horizontal="center"/>
      <protection locked="0"/>
    </xf>
    <xf numFmtId="1" fontId="0" fillId="14" borderId="0" xfId="0" applyNumberFormat="1" applyFill="1" applyProtection="1">
      <protection locked="0"/>
    </xf>
    <xf numFmtId="2" fontId="0" fillId="14" borderId="0" xfId="0" applyNumberFormat="1" applyFill="1" applyProtection="1">
      <protection locked="0"/>
    </xf>
    <xf numFmtId="164" fontId="0" fillId="14" borderId="0" xfId="0" applyNumberFormat="1" applyFill="1" applyProtection="1">
      <protection locked="0"/>
    </xf>
    <xf numFmtId="0" fontId="0" fillId="14" borderId="0" xfId="0" applyFill="1" applyAlignment="1" applyProtection="1">
      <alignment horizontal="center"/>
      <protection locked="0"/>
    </xf>
    <xf numFmtId="0" fontId="5" fillId="14" borderId="0" xfId="0" applyFont="1" applyFill="1" applyProtection="1">
      <protection locked="0"/>
    </xf>
    <xf numFmtId="0" fontId="0" fillId="14" borderId="0" xfId="0" applyFill="1"/>
    <xf numFmtId="0" fontId="0" fillId="14" borderId="2" xfId="0" applyFill="1" applyBorder="1" applyProtection="1">
      <protection locked="0"/>
    </xf>
    <xf numFmtId="0" fontId="11" fillId="14" borderId="0" xfId="0" applyFont="1" applyFill="1" applyProtection="1">
      <protection locked="0"/>
    </xf>
    <xf numFmtId="0" fontId="13" fillId="0" borderId="0" xfId="0" applyFont="1"/>
    <xf numFmtId="0" fontId="0" fillId="0" borderId="10" xfId="0" applyBorder="1"/>
    <xf numFmtId="0" fontId="14" fillId="0" borderId="0" xfId="0" applyFont="1"/>
    <xf numFmtId="0" fontId="15" fillId="15" borderId="4" xfId="0" applyFont="1" applyFill="1" applyBorder="1"/>
    <xf numFmtId="0" fontId="15" fillId="15" borderId="2" xfId="0" applyFont="1" applyFill="1" applyBorder="1"/>
    <xf numFmtId="22" fontId="15" fillId="15" borderId="14" xfId="0" applyNumberFormat="1" applyFont="1" applyFill="1" applyBorder="1"/>
    <xf numFmtId="0" fontId="16" fillId="15" borderId="12" xfId="0" applyFont="1" applyFill="1" applyBorder="1"/>
    <xf numFmtId="0" fontId="14" fillId="0" borderId="13" xfId="0" applyFont="1" applyBorder="1"/>
    <xf numFmtId="0" fontId="14" fillId="0" borderId="8" xfId="0" applyFont="1" applyBorder="1"/>
    <xf numFmtId="0" fontId="14" fillId="0" borderId="2" xfId="0" applyFont="1" applyBorder="1"/>
    <xf numFmtId="0" fontId="14" fillId="0" borderId="14" xfId="0" applyFont="1" applyBorder="1"/>
    <xf numFmtId="9" fontId="14" fillId="0" borderId="0" xfId="0" applyNumberFormat="1" applyFont="1"/>
    <xf numFmtId="0" fontId="14" fillId="0" borderId="9" xfId="0" applyFont="1" applyBorder="1"/>
    <xf numFmtId="0" fontId="14" fillId="0" borderId="15" xfId="0" applyFont="1" applyBorder="1"/>
    <xf numFmtId="0" fontId="14" fillId="0" borderId="16" xfId="0" applyFont="1" applyBorder="1"/>
    <xf numFmtId="0" fontId="15" fillId="15" borderId="8" xfId="0" applyFont="1" applyFill="1" applyBorder="1"/>
    <xf numFmtId="0" fontId="15" fillId="15" borderId="9" xfId="0" applyFont="1" applyFill="1" applyBorder="1"/>
    <xf numFmtId="0" fontId="14" fillId="15" borderId="0" xfId="0" applyFont="1" applyFill="1"/>
    <xf numFmtId="0" fontId="13" fillId="0" borderId="17" xfId="0" applyFont="1" applyBorder="1"/>
    <xf numFmtId="14" fontId="13" fillId="0" borderId="17" xfId="0" applyNumberFormat="1" applyFont="1" applyBorder="1"/>
    <xf numFmtId="0" fontId="0" fillId="0" borderId="17" xfId="0" applyBorder="1"/>
    <xf numFmtId="0" fontId="0" fillId="0" borderId="18" xfId="0" applyBorder="1"/>
    <xf numFmtId="14" fontId="0" fillId="0" borderId="17" xfId="0" applyNumberFormat="1" applyBorder="1"/>
    <xf numFmtId="14" fontId="0" fillId="0" borderId="0" xfId="0" applyNumberFormat="1" applyBorder="1"/>
    <xf numFmtId="0" fontId="7" fillId="2" borderId="11" xfId="2" applyFont="1" applyFill="1" applyBorder="1" applyAlignment="1">
      <alignment vertical="center"/>
    </xf>
    <xf numFmtId="0" fontId="7" fillId="2" borderId="11" xfId="2" applyFont="1" applyFill="1" applyBorder="1" applyAlignment="1">
      <alignment horizontal="center" vertical="center"/>
    </xf>
    <xf numFmtId="14" fontId="7" fillId="2" borderId="11" xfId="2" applyNumberFormat="1" applyFont="1" applyFill="1" applyBorder="1" applyAlignment="1">
      <alignment horizontal="center" vertical="center"/>
    </xf>
    <xf numFmtId="43" fontId="7" fillId="2" borderId="11" xfId="2" applyNumberFormat="1" applyFont="1" applyFill="1" applyBorder="1" applyAlignment="1">
      <alignment horizontal="center" vertical="center" wrapText="1"/>
    </xf>
  </cellXfs>
  <cellStyles count="6">
    <cellStyle name="Categoría de la tabla dinámica" xfId="4" xr:uid="{00000000-0005-0000-0000-000000000000}"/>
    <cellStyle name="Énfasis2" xfId="2" builtinId="33"/>
    <cellStyle name="Millares" xfId="1" builtinId="3"/>
    <cellStyle name="Normal" xfId="0" builtinId="0"/>
    <cellStyle name="Normal 2" xfId="5" xr:uid="{00000000-0005-0000-0000-000004000000}"/>
    <cellStyle name="Porcentaje" xfId="3" builtinId="5"/>
  </cellStyles>
  <dxfs count="87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167" formatCode="_-[$$-2C0A]\ * #,##0_-;\-[$$-2C0A]\ * #,##0_-;_-[$$-2C0A]\ * &quot;-&quot;??_-;_-@_-"/>
    </dxf>
    <dxf>
      <numFmt numFmtId="165" formatCode="[$-C0A]mmm\-yy;@"/>
    </dxf>
    <dxf>
      <numFmt numFmtId="165" formatCode="[$-C0A]mmm\-yy;@"/>
    </dxf>
    <dxf>
      <numFmt numFmtId="166" formatCode="_-* #,##0_-;\-* #,##0_-;_-* &quot;-&quot;??_-;_-@_-"/>
    </dxf>
    <dxf>
      <numFmt numFmtId="165" formatCode="[$-C0A]mmm\-yy;@"/>
    </dxf>
    <dxf>
      <numFmt numFmtId="165" formatCode="[$-C0A]mmm\-yy;@"/>
    </dxf>
    <dxf>
      <numFmt numFmtId="166" formatCode="_-* #,##0_-;\-* #,##0_-;_-* &quot;-&quot;??_-;_-@_-"/>
    </dxf>
    <dxf>
      <numFmt numFmtId="19" formatCode="dd/mm/yyyy"/>
    </dxf>
    <dxf>
      <border>
        <bottom style="medium">
          <color auto="1"/>
        </bottom>
      </border>
    </dxf>
    <dxf>
      <font>
        <b/>
        <i val="0"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0.0"/>
      <fill>
        <patternFill patternType="solid">
          <fgColor indexed="64"/>
          <bgColor theme="0"/>
        </patternFill>
      </fill>
      <protection locked="0" hidden="0"/>
    </dxf>
    <dxf>
      <numFmt numFmtId="164" formatCode="0.0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164" formatCode="0.0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2" formatCode="0.00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1" formatCode="0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19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numFmt numFmtId="1" formatCode="0"/>
    </dxf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27" formatCode="dd/mm/yyyy\ h:mm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8" formatCode="0.00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_-* #,##0_-;\-* #,##0_-;_-* &quot;-&quot;??_-;_-@_-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F09FF"/>
      <color rgb="FFF9FF0D"/>
      <color rgb="FFF3B4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1.xml"/><Relationship Id="rId28" Type="http://schemas.microsoft.com/office/2011/relationships/timelineCache" Target="timelineCaches/timelineCache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11/relationships/timelineCache" Target="timelineCaches/timelineCache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Planificación de la cosecha - Diagrama de Gantt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Fecha Inicio</c:v>
          </c:tx>
          <c:spPr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4472C4"/>
                  </a:solidFill>
                </a14:hiddenFill>
              </a:ext>
            </a:extLst>
          </c:spPr>
          <c:invertIfNegative val="0"/>
          <c:cat>
            <c:multiLvlStrRef>
              <c:f>'Carga Simulaciones'!$A$2:$C$16</c:f>
              <c:multiLvlStrCache>
                <c:ptCount val="15"/>
                <c:lvl>
                  <c:pt idx="0">
                    <c:v>FACOIT00145P03135-135</c:v>
                  </c:pt>
                  <c:pt idx="1">
                    <c:v>FACOIT00145P03149-149</c:v>
                  </c:pt>
                  <c:pt idx="2">
                    <c:v>FACOIT00145P03150-150</c:v>
                  </c:pt>
                  <c:pt idx="3">
                    <c:v>FACOIT00145P03157-157</c:v>
                  </c:pt>
                  <c:pt idx="4">
                    <c:v>FACOIT00145P03158-158</c:v>
                  </c:pt>
                  <c:pt idx="5">
                    <c:v>FACOIT00145P03160-160</c:v>
                  </c:pt>
                  <c:pt idx="6">
                    <c:v>FACOIT00145P03161-161</c:v>
                  </c:pt>
                  <c:pt idx="7">
                    <c:v>FACOIT00145P03162-162</c:v>
                  </c:pt>
                  <c:pt idx="8">
                    <c:v>FACOIT00145P03219-219</c:v>
                  </c:pt>
                  <c:pt idx="9">
                    <c:v>FACOIT00145P03220-220</c:v>
                  </c:pt>
                  <c:pt idx="10">
                    <c:v>FACOST00137P03069-069</c:v>
                  </c:pt>
                  <c:pt idx="11">
                    <c:v>FACOST00137P03066-066</c:v>
                  </c:pt>
                  <c:pt idx="12">
                    <c:v>FACOST00137P03065-065</c:v>
                  </c:pt>
                  <c:pt idx="13">
                    <c:v>FACOST00137P03067-067</c:v>
                  </c:pt>
                  <c:pt idx="14">
                    <c:v>FACOST00137P03068-068</c:v>
                  </c:pt>
                </c:lvl>
                <c:lvl>
                  <c:pt idx="0">
                    <c:v>Tala rasa</c:v>
                  </c:pt>
                  <c:pt idx="1">
                    <c:v>Tala rasa</c:v>
                  </c:pt>
                  <c:pt idx="2">
                    <c:v>Tala rasa</c:v>
                  </c:pt>
                  <c:pt idx="3">
                    <c:v>Tala rasa</c:v>
                  </c:pt>
                  <c:pt idx="4">
                    <c:v>Tala rasa</c:v>
                  </c:pt>
                  <c:pt idx="5">
                    <c:v>Tala rasa</c:v>
                  </c:pt>
                  <c:pt idx="6">
                    <c:v>Tala rasa</c:v>
                  </c:pt>
                  <c:pt idx="7">
                    <c:v>Tala rasa</c:v>
                  </c:pt>
                  <c:pt idx="8">
                    <c:v>Tala rasa</c:v>
                  </c:pt>
                  <c:pt idx="9">
                    <c:v>Tala rasa</c:v>
                  </c:pt>
                  <c:pt idx="10">
                    <c:v>Tala rasa</c:v>
                  </c:pt>
                  <c:pt idx="11">
                    <c:v>Tala rasa</c:v>
                  </c:pt>
                  <c:pt idx="12">
                    <c:v>Tala rasa</c:v>
                  </c:pt>
                  <c:pt idx="13">
                    <c:v>Tala rasa</c:v>
                  </c:pt>
                  <c:pt idx="14">
                    <c:v>Tala rasa</c:v>
                  </c:pt>
                </c:lvl>
                <c:lvl>
                  <c:pt idx="0">
                    <c:v>CASTELFIDARDO _R41</c:v>
                  </c:pt>
                  <c:pt idx="1">
                    <c:v>CASTELFIDARDO _R41</c:v>
                  </c:pt>
                  <c:pt idx="2">
                    <c:v>CASTELFIDARDO _R41</c:v>
                  </c:pt>
                  <c:pt idx="3">
                    <c:v>CASTELFIDARDO _R41</c:v>
                  </c:pt>
                  <c:pt idx="4">
                    <c:v>CASTELFIDARDO _R41</c:v>
                  </c:pt>
                  <c:pt idx="5">
                    <c:v>CASTELFIDARDO _R41</c:v>
                  </c:pt>
                  <c:pt idx="6">
                    <c:v>CASTELFIDARDO _R41</c:v>
                  </c:pt>
                  <c:pt idx="7">
                    <c:v>CASTELFIDARDO _R41</c:v>
                  </c:pt>
                  <c:pt idx="8">
                    <c:v>CASTELFIDARDO _R41</c:v>
                  </c:pt>
                  <c:pt idx="9">
                    <c:v>CASTELFIDARDO _R41</c:v>
                  </c:pt>
                  <c:pt idx="10">
                    <c:v>INDUFOR_R93</c:v>
                  </c:pt>
                  <c:pt idx="11">
                    <c:v>INDUFOR_R93</c:v>
                  </c:pt>
                  <c:pt idx="12">
                    <c:v>INDUFOR_R93</c:v>
                  </c:pt>
                  <c:pt idx="13">
                    <c:v>INDUFOR_R93</c:v>
                  </c:pt>
                  <c:pt idx="14">
                    <c:v>INDUFOR_R93</c:v>
                  </c:pt>
                </c:lvl>
              </c:multiLvlStrCache>
            </c:multiLvlStrRef>
          </c:cat>
          <c:val>
            <c:numRef>
              <c:f>'Carga Simulaciones'!$H$2:$H$16</c:f>
              <c:numCache>
                <c:formatCode>m/d/yyyy</c:formatCode>
                <c:ptCount val="15"/>
                <c:pt idx="0">
                  <c:v>44774</c:v>
                </c:pt>
                <c:pt idx="1">
                  <c:v>44776</c:v>
                </c:pt>
                <c:pt idx="2">
                  <c:v>44777</c:v>
                </c:pt>
                <c:pt idx="3">
                  <c:v>44778</c:v>
                </c:pt>
                <c:pt idx="4">
                  <c:v>44785</c:v>
                </c:pt>
                <c:pt idx="5">
                  <c:v>44789</c:v>
                </c:pt>
                <c:pt idx="6">
                  <c:v>44790</c:v>
                </c:pt>
                <c:pt idx="7">
                  <c:v>44795</c:v>
                </c:pt>
                <c:pt idx="8">
                  <c:v>44797</c:v>
                </c:pt>
                <c:pt idx="9">
                  <c:v>44798</c:v>
                </c:pt>
                <c:pt idx="10">
                  <c:v>44774</c:v>
                </c:pt>
                <c:pt idx="11">
                  <c:v>44776</c:v>
                </c:pt>
                <c:pt idx="12">
                  <c:v>44777</c:v>
                </c:pt>
                <c:pt idx="13">
                  <c:v>44789</c:v>
                </c:pt>
                <c:pt idx="14">
                  <c:v>44797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4B-4ED5-AC23-E01DFBBF2FF0}"/>
            </c:ext>
          </c:extLst>
        </c:ser>
        <c:ser>
          <c:idx val="1"/>
          <c:order val="1"/>
          <c:tx>
            <c:v>Duración</c:v>
          </c:tx>
          <c:spPr>
            <a:solidFill>
              <a:srgbClr val="00B050"/>
            </a:solidFill>
          </c:spPr>
          <c:invertIfNegative val="0"/>
          <c:val>
            <c:numRef>
              <c:f>'Carga Simulaciones'!$J$2:$J$16</c:f>
              <c:numCache>
                <c:formatCode>General</c:formatCode>
                <c:ptCount val="1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12</c:v>
                </c:pt>
                <c:pt idx="13">
                  <c:v>8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B-4ED5-AC23-E01DFBBF2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95527215"/>
        <c:axId val="1595516815"/>
      </c:barChart>
      <c:catAx>
        <c:axId val="1595527215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latin typeface="Arial"/>
                <a:ea typeface="Arial"/>
                <a:cs typeface="Arial"/>
              </a:defRPr>
            </a:pPr>
            <a:endParaRPr lang="es-AR"/>
          </a:p>
        </c:txPr>
        <c:crossAx val="1595516815"/>
        <c:crosses val="autoZero"/>
        <c:auto val="1"/>
        <c:lblAlgn val="ctr"/>
        <c:lblOffset val="100"/>
        <c:noMultiLvlLbl val="0"/>
      </c:catAx>
      <c:valAx>
        <c:axId val="1595516815"/>
        <c:scaling>
          <c:orientation val="minMax"/>
          <c:min val="44774"/>
        </c:scaling>
        <c:delete val="0"/>
        <c:axPos val="t"/>
        <c:majorGridlines/>
        <c:minorGridlines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b="1">
                <a:latin typeface="Arial"/>
                <a:ea typeface="Arial"/>
                <a:cs typeface="Arial"/>
              </a:defRPr>
            </a:pPr>
            <a:endParaRPr lang="es-AR"/>
          </a:p>
        </c:txPr>
        <c:crossAx val="1595527215"/>
        <c:crosses val="autoZero"/>
        <c:crossBetween val="between"/>
        <c:majorUnit val="30"/>
        <c:minorUnit val="7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88265</xdr:colOff>
      <xdr:row>59</xdr:row>
      <xdr:rowOff>117475</xdr:rowOff>
    </xdr:to>
    <xdr:graphicFrame macro="">
      <xdr:nvGraphicFramePr>
        <xdr:cNvPr id="2" name="Gantt">
          <a:extLst>
            <a:ext uri="{FF2B5EF4-FFF2-40B4-BE49-F238E27FC236}">
              <a16:creationId xmlns:a16="http://schemas.microsoft.com/office/drawing/2014/main" id="{0842F229-E701-9F43-0D32-9C89BBBFB8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53339</xdr:rowOff>
    </xdr:from>
    <xdr:to>
      <xdr:col>17</xdr:col>
      <xdr:colOff>762000</xdr:colOff>
      <xdr:row>18</xdr:row>
      <xdr:rowOff>180974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C2607F1-B3CA-49EE-931C-7C01DA1A0A41}"/>
            </a:ext>
          </a:extLst>
        </xdr:cNvPr>
        <xdr:cNvSpPr/>
      </xdr:nvSpPr>
      <xdr:spPr>
        <a:xfrm>
          <a:off x="0" y="419099"/>
          <a:ext cx="11254740" cy="3053715"/>
        </a:xfrm>
        <a:prstGeom prst="roundRect">
          <a:avLst>
            <a:gd name="adj" fmla="val 1479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400">
              <a:latin typeface="Bahnschrift" panose="020B0502040204020203" pitchFamily="34" charset="0"/>
            </a:rPr>
            <a:t>Segmentación de</a:t>
          </a:r>
          <a:r>
            <a:rPr lang="es-ES" sz="1400" baseline="0">
              <a:latin typeface="Bahnschrift" panose="020B0502040204020203" pitchFamily="34" charset="0"/>
            </a:rPr>
            <a:t> los datos</a:t>
          </a:r>
          <a:endParaRPr lang="es-ES" sz="1400">
            <a:latin typeface="Bahnschrift" panose="020B0502040204020203" pitchFamily="34" charset="0"/>
          </a:endParaRPr>
        </a:p>
      </xdr:txBody>
    </xdr:sp>
    <xdr:clientData/>
  </xdr:twoCellAnchor>
  <xdr:oneCellAnchor>
    <xdr:from>
      <xdr:col>0</xdr:col>
      <xdr:colOff>0</xdr:colOff>
      <xdr:row>3</xdr:row>
      <xdr:rowOff>161925</xdr:rowOff>
    </xdr:from>
    <xdr:ext cx="1828800" cy="264223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ntratista">
              <a:extLst>
                <a:ext uri="{FF2B5EF4-FFF2-40B4-BE49-F238E27FC236}">
                  <a16:creationId xmlns:a16="http://schemas.microsoft.com/office/drawing/2014/main" id="{C278BB50-6B9F-4F61-8ADC-96D1C0CDA5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tratis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33425"/>
              <a:ext cx="1828800" cy="2819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oneCellAnchor>
    <xdr:from>
      <xdr:col>1</xdr:col>
      <xdr:colOff>868680</xdr:colOff>
      <xdr:row>3</xdr:row>
      <xdr:rowOff>123825</xdr:rowOff>
    </xdr:from>
    <xdr:ext cx="1828800" cy="268033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odal">
              <a:extLst>
                <a:ext uri="{FF2B5EF4-FFF2-40B4-BE49-F238E27FC236}">
                  <a16:creationId xmlns:a16="http://schemas.microsoft.com/office/drawing/2014/main" id="{DB4CD06D-D61F-4A04-90FD-595EE92CB6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d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49780" y="672465"/>
              <a:ext cx="1828800" cy="2680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oneCellAnchor>
    <xdr:from>
      <xdr:col>4</xdr:col>
      <xdr:colOff>38100</xdr:colOff>
      <xdr:row>3</xdr:row>
      <xdr:rowOff>131444</xdr:rowOff>
    </xdr:from>
    <xdr:ext cx="6257925" cy="1532051"/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">
              <a:extLst>
                <a:ext uri="{FF2B5EF4-FFF2-40B4-BE49-F238E27FC236}">
                  <a16:creationId xmlns:a16="http://schemas.microsoft.com/office/drawing/2014/main" id="{9A15AFA5-624C-47A6-9F26-9063E394697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023360" y="680084"/>
              <a:ext cx="6257925" cy="15320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14</xdr:col>
      <xdr:colOff>447674</xdr:colOff>
      <xdr:row>2</xdr:row>
      <xdr:rowOff>9525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FFEC8CD5-2A4C-4540-B7D9-AF6B172EA37C}"/>
            </a:ext>
          </a:extLst>
        </xdr:cNvPr>
        <xdr:cNvSpPr/>
      </xdr:nvSpPr>
      <xdr:spPr>
        <a:xfrm>
          <a:off x="0" y="0"/>
          <a:ext cx="11115674" cy="390525"/>
        </a:xfrm>
        <a:prstGeom prst="round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600">
              <a:latin typeface="Bahnschrift" panose="020B0502040204020203" pitchFamily="34" charset="0"/>
            </a:rPr>
            <a:t>Proyección</a:t>
          </a:r>
          <a:r>
            <a:rPr lang="es-ES" sz="1600" baseline="0">
              <a:latin typeface="Bahnschrift" panose="020B0502040204020203" pitchFamily="34" charset="0"/>
            </a:rPr>
            <a:t> del volumen cosechado en los distintos rodales intervenidos</a:t>
          </a:r>
          <a:endParaRPr lang="es-ES" sz="1600">
            <a:latin typeface="Bahnschrift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14</xdr:col>
      <xdr:colOff>447674</xdr:colOff>
      <xdr:row>18</xdr:row>
      <xdr:rowOff>180975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07F06CD-D6E9-452C-A308-378F50478D07}"/>
            </a:ext>
          </a:extLst>
        </xdr:cNvPr>
        <xdr:cNvSpPr/>
      </xdr:nvSpPr>
      <xdr:spPr>
        <a:xfrm>
          <a:off x="0" y="390525"/>
          <a:ext cx="11115674" cy="3219450"/>
        </a:xfrm>
        <a:prstGeom prst="roundRect">
          <a:avLst>
            <a:gd name="adj" fmla="val 1479"/>
          </a:avLst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400">
              <a:latin typeface="Bahnschrift" panose="020B0502040204020203" pitchFamily="34" charset="0"/>
            </a:rPr>
            <a:t>Segmentación de</a:t>
          </a:r>
          <a:r>
            <a:rPr lang="es-ES" sz="1400" baseline="0">
              <a:latin typeface="Bahnschrift" panose="020B0502040204020203" pitchFamily="34" charset="0"/>
            </a:rPr>
            <a:t> los datos</a:t>
          </a:r>
          <a:endParaRPr lang="es-ES" sz="1400">
            <a:latin typeface="Bahnschrift" panose="020B0502040204020203" pitchFamily="34" charset="0"/>
          </a:endParaRPr>
        </a:p>
      </xdr:txBody>
    </xdr:sp>
    <xdr:clientData/>
  </xdr:twoCellAnchor>
  <xdr:oneCellAnchor>
    <xdr:from>
      <xdr:col>0</xdr:col>
      <xdr:colOff>0</xdr:colOff>
      <xdr:row>3</xdr:row>
      <xdr:rowOff>161925</xdr:rowOff>
    </xdr:from>
    <xdr:ext cx="1828800" cy="28194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ontratista 1">
              <a:extLst>
                <a:ext uri="{FF2B5EF4-FFF2-40B4-BE49-F238E27FC236}">
                  <a16:creationId xmlns:a16="http://schemas.microsoft.com/office/drawing/2014/main" id="{C3B974A5-A541-4EE1-A8B4-C346FC9255A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ntratis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33425"/>
              <a:ext cx="1828800" cy="2819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oneCellAnchor>
    <xdr:from>
      <xdr:col>1</xdr:col>
      <xdr:colOff>38100</xdr:colOff>
      <xdr:row>3</xdr:row>
      <xdr:rowOff>161925</xdr:rowOff>
    </xdr:from>
    <xdr:ext cx="1828800" cy="28194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odal 1">
              <a:extLst>
                <a:ext uri="{FF2B5EF4-FFF2-40B4-BE49-F238E27FC236}">
                  <a16:creationId xmlns:a16="http://schemas.microsoft.com/office/drawing/2014/main" id="{E08D7C8F-D5EA-479C-9E70-9F4410BA3F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d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7850" y="733425"/>
              <a:ext cx="1828800" cy="2819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oneCellAnchor>
    <xdr:from>
      <xdr:col>2</xdr:col>
      <xdr:colOff>228600</xdr:colOff>
      <xdr:row>3</xdr:row>
      <xdr:rowOff>161924</xdr:rowOff>
    </xdr:from>
    <xdr:ext cx="6619875" cy="1532051"/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F74C9094-D53D-48E3-8920-FE028A9353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76650" y="733424"/>
              <a:ext cx="6619875" cy="15320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14</xdr:col>
      <xdr:colOff>447674</xdr:colOff>
      <xdr:row>2</xdr:row>
      <xdr:rowOff>9525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FF8C173-58E7-44F9-B256-E149FA4A4B7D}"/>
            </a:ext>
          </a:extLst>
        </xdr:cNvPr>
        <xdr:cNvSpPr/>
      </xdr:nvSpPr>
      <xdr:spPr>
        <a:xfrm>
          <a:off x="0" y="0"/>
          <a:ext cx="11115674" cy="390525"/>
        </a:xfrm>
        <a:prstGeom prst="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600">
              <a:latin typeface="Bahnschrift" panose="020B0502040204020203" pitchFamily="34" charset="0"/>
            </a:rPr>
            <a:t>Proyección</a:t>
          </a:r>
          <a:r>
            <a:rPr lang="es-ES" sz="1600" baseline="0">
              <a:latin typeface="Bahnschrift" panose="020B0502040204020203" pitchFamily="34" charset="0"/>
            </a:rPr>
            <a:t> de la facturación de las EMSEFOR en los rodales intervenidos</a:t>
          </a:r>
          <a:endParaRPr lang="es-ES" sz="1600">
            <a:latin typeface="Bahnschrift" panose="020B0502040204020203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ACULTAD\INVESTIGACION\GTCF\4-Proyecto%20SIMNEA\TARIFICADOR%20BDP%202019%20-%202021\2022_V2\Plataforma_Cosecha_2022_v2.4_AGOS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tios"/>
      <sheetName val="Frentes"/>
      <sheetName val="Generales"/>
      <sheetName val="Modelos"/>
      <sheetName val="Carga Simulaciones"/>
      <sheetName val="Expansión_Fechas"/>
      <sheetName val="Gantt"/>
      <sheetName val="Resumen Volumen"/>
      <sheetName val="Resumen Facturación"/>
      <sheetName val="Detalles de las Simulaciones"/>
      <sheetName val="Sim_FACOIT00145P03161-161"/>
      <sheetName val="Sim_FACOIT00145P03163-163"/>
      <sheetName val="Sim_FACOIT00145P03167-167"/>
      <sheetName val="Sim_FACOIT00145P03170-170"/>
      <sheetName val="Sim_FACOIT00145P03186-186"/>
      <sheetName val="Sim_FACOIT00145P03189-189"/>
      <sheetName val="Sim_FACOIT00145P03191-191"/>
      <sheetName val="Plataforma_Cosecha_2022_v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 II" refreshedDate="44783.424468055557" createdVersion="7" refreshedVersion="8" minRefreshableVersion="3" recordCount="38" xr:uid="{00000000-000A-0000-FFFF-FFFF00000000}">
  <cacheSource type="worksheet">
    <worksheetSource name="Tabla_Expansion"/>
  </cacheSource>
  <cacheFields count="8">
    <cacheField name="Contratista" numFmtId="0">
      <sharedItems count="25">
        <s v="CASTELFIDARDO _R41"/>
        <s v="INDUFOR_R93"/>
        <s v="FSM_R51" u="1"/>
        <s v="PASTORI _ÑR34" u="1"/>
        <s v="PELLEGRINI" u="1"/>
        <s v="PASTORI_ÑR31" u="1"/>
        <s v="INDUFOR" u="1"/>
        <s v="PELLEGRINI_R82" u="1"/>
        <s v="INTERAMERICANA_R31" u="1"/>
        <s v="PASTORI (1)" u="1"/>
        <s v="INTERAMERICANA" u="1"/>
        <s v="PASTORI (2)" u="1"/>
        <s v="PASTORI_Ñ29" u="1"/>
        <s v="PASTORI _Ñ16" u="1"/>
        <s v="CASTELFIDARDO" u="1"/>
        <s v="PASTORI (3)" u="1"/>
        <s v="FCF" u="1"/>
        <s v="PASTORI (4)" u="1"/>
        <s v="MCM_R22" u="1"/>
        <s v="PASTORI _Ñ28" u="1"/>
        <s v="PASTORI_Ñ14" u="1"/>
        <s v="MCM (1)" u="1"/>
        <s v="MCM (2)" u="1"/>
        <s v="PASTORI _ÑR36" u="1"/>
        <s v="INDUFOR " u="1"/>
      </sharedItems>
    </cacheField>
    <cacheField name="Operación" numFmtId="0">
      <sharedItems/>
    </cacheField>
    <cacheField name="Rodal" numFmtId="0">
      <sharedItems count="173">
        <s v="FACOIT00145P03135-135"/>
        <s v="FACOIT00145P03149-149"/>
        <s v="FACOIT00145P03150-150"/>
        <s v="FACOIT00145P03157-157"/>
        <s v="FACOIT00145P03158-158"/>
        <s v="FACOIT00145P03160-160"/>
        <s v="FACOIT00145P03161-161"/>
        <s v="FACOIT00145P03162-162"/>
        <s v="FACOIT00145P03219-219"/>
        <s v="FACOIT00145P03220-220"/>
        <s v="FACOST00137P03069-069"/>
        <s v="FACOST00137P03066-066"/>
        <s v="FACOST00137P03065-065"/>
        <s v="FACOST00137P03067-067"/>
        <s v="FACOST00137P03068-068"/>
        <s v="FACOST00147P02039-039" u="1"/>
        <s v="FACOIT00145P02024-024" u="1"/>
        <s v="FACOST00149P05269-269" u="1"/>
        <s v="FACOAL00130P01121-121" u="1"/>
        <s v="FACOAL00130P01135-168" u="1"/>
        <s v="FACOIT00145P02114-114" u="1"/>
        <s v="FACOAL00130P01135-153" u="1"/>
        <s v="FACOAL00130P04387-387" u="1"/>
        <s v="FACOIT00145P02051-051" u="1"/>
        <s v="FACOIT00145P02120-120" u="1"/>
        <s v="FACOST00129P01274-274" u="1"/>
        <s v="FACOAL00130P01135-161" u="1"/>
        <s v="FACOAL00130P01135-136" u="1"/>
        <s v="FACOST00147P03161-161" u="1"/>
        <s v="FACOST00146P02007-007" u="1"/>
        <s v="FACOST00136P01035-035" u="1"/>
        <s v="FACOAL00130P01125-125" u="1"/>
        <s v="FACOIT00145P02013-013012" u="1"/>
        <s v="FACOAL00130P01135-159" u="1"/>
        <s v="FACOST00113P98015-015" u="1"/>
        <s v="FACOST00101P10444-444" u="1"/>
        <s v="FACOAL00130P01135-144" u="1"/>
        <s v="FACOIT00145P02103-103" u="1"/>
        <s v="FACOAL00130P01131-131" u="1"/>
        <s v="FACOST00147P02040-040" u="1"/>
        <s v="FACOST00129P01347-347" u="1"/>
        <s v="FACOAL00130P01135-167" u="1"/>
        <s v="FACOST00129P05603-603" u="1"/>
        <s v="FACOAL00130P01135-152" u="1"/>
        <s v="FACOST00129P01353-353" u="1"/>
        <s v="FACOST00147P03165-165" u="1"/>
        <s v="FACOST00129P05576-576" u="1"/>
        <s v="FACOST00136P01018-018" u="1"/>
        <s v="FACOIT00145P03186-186" u="1"/>
        <s v="FACOST00118P00031-031" u="1"/>
        <s v="FACOST00129P01380-380" u="1"/>
        <s v="FACOAL00130P01135-160" u="1"/>
        <s v="FACOIT00145P02002-002" u="1"/>
        <s v="FACOAL00130P01135-135" u="1"/>
        <s v="FACOIT00145P02023-023" u="1"/>
        <s v="FACOAL00130P02218-218" u="1"/>
        <s v="FACOST00101P10370-370" u="1"/>
        <s v="FACOAL00130P01135-158" u="1"/>
        <s v="FACOST00129P01357-357" u="1"/>
        <s v="FACOAL00130P01135-143" u="1"/>
        <s v="FACOST00101P08181-181" u="1"/>
        <s v="FACOAL00130P01135-166" u="1"/>
        <s v="FACOAL00130P01135-151" u="1"/>
        <s v="FACOST00146P02006-006" u="1"/>
        <s v="FACOST00129P05592-592" u="1"/>
        <s v="FACOST00146P02027-027" u="1"/>
        <s v="FACOAL00130P01124-124" u="1"/>
        <s v="FACOIT00145P02102-102" u="1"/>
        <s v="FACOST00127P01082-082" u="1"/>
        <s v="FACOAL00130P01135-149" u="1"/>
        <s v="FACOST00129P01346-346" u="1"/>
        <s v="FACOST00128P00018-018" u="1"/>
        <s v="FACOST00129P05602-602" u="1"/>
        <s v="FACOST00101P08179-179" u="1"/>
        <s v="FACOST00120P99040-040" u="1"/>
        <s v="FACOST00129P01352-352" u="1"/>
        <s v="FACOST00147P03179-179" u="1"/>
        <s v="FACOST00120P99061-061" u="1"/>
        <s v="FACOST00129P05575-575" u="1"/>
        <s v="FACOST00101P07351-351" u="1"/>
        <s v="FACOAL00130P01135-157" u="1"/>
        <s v="FACOAL00130P01135-142" u="1"/>
        <s v="FACOIT00145P03170-170" u="1"/>
        <s v="FACOAL00130P01128-128" u="1"/>
        <s v="FACOIT00145P03191-191" u="1"/>
        <s v="FACOST00146P02001-001" u="1"/>
        <s v="FACOIT00145P02037-037" u="1"/>
        <s v="FACOIT00145P02106-106" u="1"/>
        <s v="FACOIT00145P02022-022" u="1"/>
        <s v="FACOAL00130P01135-165" u="1"/>
        <s v="FACOAL00130P01135-150" u="1"/>
        <s v="FACOAL00130P02217-217" u="1"/>
        <s v="FACOST00127P01071-071" u="1"/>
        <s v="FACOST00105P10013-013" u="1"/>
        <s v="FACOST00128P00007-007" u="1"/>
        <s v="FACOST00129P01410-410" u="1"/>
        <s v="FACOST00129P05579-579" u="1"/>
        <s v="FACOIT00145P03189-189" u="1"/>
        <s v="FACOST00101P07424-424" u="1"/>
        <s v="FACOAL00130P01135-148" u="1"/>
        <s v="FACOST00129P01383-383" u="1"/>
        <s v="FACOST00149P03090-090" u="1"/>
        <s v="FACOST00136P01012-012" u="1"/>
        <s v="FACOST00146P02005-005" u="1"/>
        <s v="FACOST00146P02026-026" u="1"/>
        <s v="FACOAL00130P01123-123" u="1"/>
        <s v="FACOAL00130P01135-156" u="1"/>
        <s v="FACOST00101P10373-373" u="1"/>
        <s v="FACOAL00130P01135-141" u="1"/>
        <s v="FACOIT00145P02101-101" u="1"/>
        <s v="FACOST00149P03025-025" u="1"/>
        <s v="FACOST00101P08115-115" u="1"/>
        <s v="FACOST00129P03540-540" u="1"/>
        <s v="FACOAL00130P01135-164" u="1"/>
        <s v="FACOST00128P00017-017" u="1"/>
        <s v="FACOST00129P05601-601" u="1"/>
        <s v="FACOST00149P03073-073" u="1"/>
        <s v="FACOST00129P01351-351" u="1"/>
        <s v="FACOST00147P03178-178" u="1"/>
        <s v="FACOAL00130P01135-139" u="1"/>
        <s v="FACOIT00145P03163-163" u="1"/>
        <s v="FACOST00147P03163-163" u="1"/>
        <s v="FACOST00120P99060-060" u="1"/>
        <s v="FACOST00129P05574-574" u="1"/>
        <s v="FACOST00129P01393-393" u="1"/>
        <s v="FACOST00129P05580-580" u="1"/>
        <s v="FACOAL00130P01127-127" u="1"/>
        <s v="FACOIT00145P02015-015" u="1"/>
        <s v="FACOST00127P01079-079" u="1"/>
        <s v="FACOAL00130P01135-147" u="1"/>
        <s v="FACOIT00145P02105-105" u="1"/>
        <s v="FACOIT00145P02021-021" u="1"/>
        <s v="FACOIT00145P02111-111" u="1"/>
        <s v="FACOST00105P10027-027" u="1"/>
        <s v="FACOST00149P03041-041" u="1"/>
        <s v="FACOAL00130P01135-155" u="1"/>
        <s v="FACOST00129P01355-355" u="1"/>
        <s v="FACOAL00130P01135-140" u="1"/>
        <s v="FACOIT00145P03167-167" u="1"/>
        <s v="FACOST00129P01340-340" u="1"/>
        <s v="FACOST00128P00012-012" u="1"/>
        <s v="FACOST00129P05584-584" u="1"/>
        <s v="FACOST00136P01026-026" u="1"/>
        <s v="FACOAL00130P01135-163" u="1"/>
        <s v="FACOAL00130P01135-138" u="1"/>
        <s v="FACOAL00130P01122-122" u="1"/>
        <s v="FACOIT00145P02100-100" u="1"/>
        <s v="FACOST00105P10016-016" u="1"/>
        <s v="FACOST00149P03024-024" u="1"/>
        <s v="FACOIT00145P02052-052" u="1"/>
        <s v="FACOIT00145P02121-121" u="1"/>
        <s v="FACOST00147P02052-052" u="1"/>
        <s v="FACOAL00130P01135-146" u="1"/>
        <s v="FACOST00101P07232-232" u="1"/>
        <s v="FACOST00129P01503-503" u="1"/>
        <s v="FACOST00129P02538-538" u="1"/>
        <s v="FACOAL00130P01135-154" u="1"/>
        <s v="FACOAL00130P01126-126" u="1"/>
        <s v="FACOIT00145P02119-119" u="1"/>
        <s v="FACOST00101P10376-376" u="1"/>
        <s v="FACOIT00145P02104-104" u="1"/>
        <s v="FACOIT00145P02020-020" u="1"/>
        <s v="FACOAL00130P01135-162" u="1"/>
        <s v="FACOST00147P02041-041" u="1"/>
        <s v="FACOAL00130P01135-137" u="1"/>
        <s v="FACOST00129P01402-402" u="1"/>
        <s v="FACOAL00130P02221-221" u="1"/>
        <s v="FACOST00129P05604-604" u="1"/>
        <s v="FACOST00129P01354-354" u="1"/>
        <s v="FACOST00129P05577-577" u="1"/>
        <s v="FACOAL00130P01109-109" u="1"/>
        <s v="FACOAL00130P01135-145" u="1"/>
        <s v="FACOST00136P01025-025" u="1"/>
      </sharedItems>
    </cacheField>
    <cacheField name="Fecha" numFmtId="14">
      <sharedItems containsSemiMixedTypes="0" containsNonDate="0" containsDate="1" containsString="0" minDate="2022-08-01T00:00:00" maxDate="2022-08-27T00:00:00" count="20">
        <d v="2022-08-01T00:00:00"/>
        <d v="2022-08-02T00:00:00"/>
        <d v="2022-08-03T00:00:00"/>
        <d v="2022-08-04T00:00:00"/>
        <d v="2022-08-05T00:00:00"/>
        <d v="2022-08-08T00:00:00"/>
        <d v="2022-08-09T00:00:00"/>
        <d v="2022-08-10T00:00:00"/>
        <d v="2022-08-11T00:00:00"/>
        <d v="2022-08-12T00:00:00"/>
        <d v="2022-08-15T00:00:00"/>
        <d v="2022-08-16T00:00:00"/>
        <d v="2022-08-17T00:00:00"/>
        <d v="2022-08-18T00:00:00"/>
        <d v="2022-08-19T00:00:00"/>
        <d v="2022-08-22T00:00:00"/>
        <d v="2022-08-23T00:00:00"/>
        <d v="2022-08-24T00:00:00"/>
        <d v="2022-08-25T00:00:00"/>
        <d v="2022-08-26T00:00:00"/>
      </sharedItems>
      <fieldGroup par="7" base="3">
        <rangePr groupBy="months" startDate="2022-08-01T00:00:00" endDate="2022-08-27T00:00:00"/>
        <groupItems count="14">
          <s v="&lt;01/08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7/08/2022"/>
        </groupItems>
      </fieldGroup>
    </cacheField>
    <cacheField name="Volumen_x000a_ [m³/día]" numFmtId="43">
      <sharedItems containsSemiMixedTypes="0" containsString="0" containsNumber="1" minValue="400.1" maxValue="1447.5"/>
    </cacheField>
    <cacheField name="Costo_x000a_ [$/día]" numFmtId="43">
      <sharedItems containsSemiMixedTypes="0" containsString="0" containsNumber="1" minValue="180045" maxValue="651375"/>
    </cacheField>
    <cacheField name="Trimestres" numFmtId="0" databaseField="0">
      <fieldGroup base="3">
        <rangePr groupBy="quarters" startDate="2022-08-01T00:00:00" endDate="2022-08-27T00:00:00"/>
        <groupItems count="6">
          <s v="&lt;01/08/2022"/>
          <s v="Trim.1"/>
          <s v="Trim.2"/>
          <s v="Trim.3"/>
          <s v="Trim.4"/>
          <s v="&gt;27/08/2022"/>
        </groupItems>
      </fieldGroup>
    </cacheField>
    <cacheField name="Años" numFmtId="0" databaseField="0">
      <fieldGroup base="3">
        <rangePr groupBy="years" startDate="2022-08-01T00:00:00" endDate="2022-08-27T00:00:00"/>
        <groupItems count="3">
          <s v="&lt;01/08/2022"/>
          <s v="2022"/>
          <s v="&gt;27/08/2022"/>
        </groupItems>
      </fieldGroup>
    </cacheField>
  </cacheFields>
  <extLst>
    <ext xmlns:x14="http://schemas.microsoft.com/office/spreadsheetml/2009/9/main" uri="{725AE2AE-9491-48be-B2B4-4EB974FC3084}">
      <x14:pivotCacheDefinition pivotCacheId="143123913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">
  <r>
    <x v="0"/>
    <s v="Tala rasa"/>
    <x v="0"/>
    <x v="0"/>
    <n v="1382.75"/>
    <n v="622237.5"/>
  </r>
  <r>
    <x v="0"/>
    <s v="Tala rasa"/>
    <x v="0"/>
    <x v="1"/>
    <n v="1382.75"/>
    <n v="622237.5"/>
  </r>
  <r>
    <x v="0"/>
    <s v="Tala rasa"/>
    <x v="1"/>
    <x v="2"/>
    <n v="1028.5999999999999"/>
    <n v="462869.99999999994"/>
  </r>
  <r>
    <x v="0"/>
    <s v="Tala rasa"/>
    <x v="2"/>
    <x v="3"/>
    <n v="910.5"/>
    <n v="409725"/>
  </r>
  <r>
    <x v="0"/>
    <s v="Tala rasa"/>
    <x v="3"/>
    <x v="4"/>
    <n v="872.74"/>
    <n v="392733"/>
  </r>
  <r>
    <x v="0"/>
    <s v="Tala rasa"/>
    <x v="3"/>
    <x v="5"/>
    <n v="872.74"/>
    <n v="392733"/>
  </r>
  <r>
    <x v="0"/>
    <s v="Tala rasa"/>
    <x v="3"/>
    <x v="6"/>
    <n v="872.74"/>
    <n v="392733"/>
  </r>
  <r>
    <x v="0"/>
    <s v="Tala rasa"/>
    <x v="3"/>
    <x v="7"/>
    <n v="872.74"/>
    <n v="392733"/>
  </r>
  <r>
    <x v="0"/>
    <s v="Tala rasa"/>
    <x v="3"/>
    <x v="8"/>
    <n v="872.74"/>
    <n v="392733"/>
  </r>
  <r>
    <x v="0"/>
    <s v="Tala rasa"/>
    <x v="4"/>
    <x v="9"/>
    <n v="755.25"/>
    <n v="339862.5"/>
  </r>
  <r>
    <x v="0"/>
    <s v="Tala rasa"/>
    <x v="4"/>
    <x v="10"/>
    <n v="755.25"/>
    <n v="339862.5"/>
  </r>
  <r>
    <x v="0"/>
    <s v="Tala rasa"/>
    <x v="5"/>
    <x v="11"/>
    <n v="1447.5"/>
    <n v="651375"/>
  </r>
  <r>
    <x v="0"/>
    <s v="Tala rasa"/>
    <x v="6"/>
    <x v="12"/>
    <n v="936.4666666666667"/>
    <n v="421410"/>
  </r>
  <r>
    <x v="0"/>
    <s v="Tala rasa"/>
    <x v="6"/>
    <x v="13"/>
    <n v="936.4666666666667"/>
    <n v="421410"/>
  </r>
  <r>
    <x v="0"/>
    <s v="Tala rasa"/>
    <x v="6"/>
    <x v="14"/>
    <n v="936.4666666666667"/>
    <n v="421410"/>
  </r>
  <r>
    <x v="0"/>
    <s v="Tala rasa"/>
    <x v="7"/>
    <x v="15"/>
    <n v="1103.8499999999999"/>
    <n v="496732.49999999994"/>
  </r>
  <r>
    <x v="0"/>
    <s v="Tala rasa"/>
    <x v="7"/>
    <x v="16"/>
    <n v="1103.8499999999999"/>
    <n v="496732.49999999994"/>
  </r>
  <r>
    <x v="0"/>
    <s v="Tala rasa"/>
    <x v="8"/>
    <x v="17"/>
    <n v="1338.7"/>
    <n v="602415"/>
  </r>
  <r>
    <x v="0"/>
    <s v="Tala rasa"/>
    <x v="9"/>
    <x v="18"/>
    <n v="1308.0999999999999"/>
    <n v="588645"/>
  </r>
  <r>
    <x v="0"/>
    <s v="Tala rasa"/>
    <x v="9"/>
    <x v="19"/>
    <n v="1308.0999999999999"/>
    <n v="588645"/>
  </r>
  <r>
    <x v="1"/>
    <s v="Tala rasa"/>
    <x v="10"/>
    <x v="0"/>
    <n v="854.6"/>
    <n v="384570"/>
  </r>
  <r>
    <x v="1"/>
    <s v="Tala rasa"/>
    <x v="10"/>
    <x v="1"/>
    <n v="854.6"/>
    <n v="384570"/>
  </r>
  <r>
    <x v="1"/>
    <s v="Tala rasa"/>
    <x v="11"/>
    <x v="2"/>
    <n v="666.9"/>
    <n v="300105"/>
  </r>
  <r>
    <x v="1"/>
    <s v="Tala rasa"/>
    <x v="12"/>
    <x v="3"/>
    <n v="681.96249999999998"/>
    <n v="306883.125"/>
  </r>
  <r>
    <x v="1"/>
    <s v="Tala rasa"/>
    <x v="12"/>
    <x v="4"/>
    <n v="681.96249999999998"/>
    <n v="306883.125"/>
  </r>
  <r>
    <x v="1"/>
    <s v="Tala rasa"/>
    <x v="12"/>
    <x v="5"/>
    <n v="681.96249999999998"/>
    <n v="306883.125"/>
  </r>
  <r>
    <x v="1"/>
    <s v="Tala rasa"/>
    <x v="12"/>
    <x v="6"/>
    <n v="681.96249999999998"/>
    <n v="306883.125"/>
  </r>
  <r>
    <x v="1"/>
    <s v="Tala rasa"/>
    <x v="12"/>
    <x v="7"/>
    <n v="681.96249999999998"/>
    <n v="306883.125"/>
  </r>
  <r>
    <x v="1"/>
    <s v="Tala rasa"/>
    <x v="12"/>
    <x v="8"/>
    <n v="681.96249999999998"/>
    <n v="306883.125"/>
  </r>
  <r>
    <x v="1"/>
    <s v="Tala rasa"/>
    <x v="12"/>
    <x v="9"/>
    <n v="681.96249999999998"/>
    <n v="306883.125"/>
  </r>
  <r>
    <x v="1"/>
    <s v="Tala rasa"/>
    <x v="12"/>
    <x v="10"/>
    <n v="681.96249999999998"/>
    <n v="306883.125"/>
  </r>
  <r>
    <x v="1"/>
    <s v="Tala rasa"/>
    <x v="13"/>
    <x v="11"/>
    <n v="762.5333333333333"/>
    <n v="343140"/>
  </r>
  <r>
    <x v="1"/>
    <s v="Tala rasa"/>
    <x v="13"/>
    <x v="12"/>
    <n v="762.5333333333333"/>
    <n v="343140"/>
  </r>
  <r>
    <x v="1"/>
    <s v="Tala rasa"/>
    <x v="13"/>
    <x v="13"/>
    <n v="762.5333333333333"/>
    <n v="343140"/>
  </r>
  <r>
    <x v="1"/>
    <s v="Tala rasa"/>
    <x v="13"/>
    <x v="14"/>
    <n v="762.5333333333333"/>
    <n v="343140"/>
  </r>
  <r>
    <x v="1"/>
    <s v="Tala rasa"/>
    <x v="13"/>
    <x v="15"/>
    <n v="762.5333333333333"/>
    <n v="343140"/>
  </r>
  <r>
    <x v="1"/>
    <s v="Tala rasa"/>
    <x v="13"/>
    <x v="16"/>
    <n v="762.5333333333333"/>
    <n v="343140"/>
  </r>
  <r>
    <x v="1"/>
    <s v="Tala rasa"/>
    <x v="14"/>
    <x v="17"/>
    <n v="400.1"/>
    <n v="1800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 Dinamica Volumen" cacheId="0" applyNumberFormats="0" applyBorderFormats="0" applyFontFormats="0" applyPatternFormats="0" applyAlignmentFormats="0" applyWidthHeightFormats="1" dataCaption="Valores" updatedVersion="8" minRefreshableVersion="5" showDrill="0" useAutoFormatting="1" colGrandTotals="0" itemPrintTitles="1" createdVersion="7" indent="0" outline="1" outlineData="1" multipleFieldFilters="0" rowHeaderCaption="EMSEFOR" colHeaderCaption="Fecha">
  <location ref="A20:C29" firstHeaderRow="1" firstDataRow="3" firstDataCol="2"/>
  <pivotFields count="8">
    <pivotField axis="axisRow" outline="0" showAll="0">
      <items count="26">
        <item h="1" m="1" x="16"/>
        <item h="1" m="1" x="10"/>
        <item h="1" m="1" x="6"/>
        <item h="1" m="1" x="21"/>
        <item h="1" m="1" x="24"/>
        <item h="1" m="1" x="17"/>
        <item h="1" m="1" x="4"/>
        <item h="1" m="1" x="22"/>
        <item h="1" m="1" x="9"/>
        <item h="1" m="1" x="11"/>
        <item h="1" m="1" x="15"/>
        <item h="1" m="1" x="14"/>
        <item h="1" x="0"/>
        <item h="1" m="1" x="23"/>
        <item h="1" m="1" x="2"/>
        <item x="1"/>
        <item h="1" m="1" x="8"/>
        <item h="1" m="1" x="18"/>
        <item h="1" m="1" x="13"/>
        <item h="1" m="1" x="19"/>
        <item h="1" m="1" x="3"/>
        <item h="1" m="1" x="20"/>
        <item h="1" m="1" x="12"/>
        <item h="1" m="1" x="5"/>
        <item h="1" m="1" x="7"/>
        <item t="default"/>
      </items>
    </pivotField>
    <pivotField showAll="0"/>
    <pivotField axis="axisRow" showAll="0">
      <items count="174">
        <item m="1" x="170"/>
        <item m="1" x="18"/>
        <item m="1" x="105"/>
        <item m="1" x="31"/>
        <item m="1" x="126"/>
        <item m="1" x="53"/>
        <item m="1" x="27"/>
        <item m="1" x="164"/>
        <item m="1" x="144"/>
        <item m="1" x="119"/>
        <item m="1" x="137"/>
        <item m="1" x="108"/>
        <item m="1" x="81"/>
        <item m="1" x="59"/>
        <item m="1" x="36"/>
        <item m="1" x="171"/>
        <item m="1" x="152"/>
        <item m="1" x="129"/>
        <item m="1" x="99"/>
        <item m="1" x="69"/>
        <item m="1" x="90"/>
        <item m="1" x="62"/>
        <item m="1" x="43"/>
        <item m="1" x="21"/>
        <item m="1" x="156"/>
        <item m="1" x="135"/>
        <item m="1" x="106"/>
        <item m="1" x="80"/>
        <item m="1" x="57"/>
        <item m="1" x="33"/>
        <item m="1" x="51"/>
        <item m="1" x="26"/>
        <item m="1" x="162"/>
        <item m="1" x="143"/>
        <item m="1" x="113"/>
        <item m="1" x="89"/>
        <item m="1" x="61"/>
        <item m="1" x="41"/>
        <item m="1" x="19"/>
        <item m="1" x="54"/>
        <item m="1" x="87"/>
        <item m="1" x="52"/>
        <item m="1" x="88"/>
        <item m="1" x="130"/>
        <item m="1" x="16"/>
        <item m="1" x="160"/>
        <item m="1" x="131"/>
        <item m="1" x="24"/>
        <item m="1" x="150"/>
        <item m="1" x="37"/>
        <item m="1" x="146"/>
        <item m="1" x="109"/>
        <item m="1" x="66"/>
        <item m="1" x="157"/>
        <item m="1" x="83"/>
        <item m="1" x="38"/>
        <item m="1" x="91"/>
        <item m="1" x="55"/>
        <item m="1" x="49"/>
        <item m="1" x="40"/>
        <item m="1" x="117"/>
        <item m="1" x="75"/>
        <item m="1" x="44"/>
        <item m="1" x="168"/>
        <item m="1" x="136"/>
        <item m="1" x="58"/>
        <item m="1" x="50"/>
        <item m="1" x="100"/>
        <item m="1" x="124"/>
        <item m="1" x="165"/>
        <item m="1" x="95"/>
        <item m="1" x="154"/>
        <item m="1" x="112"/>
        <item m="1" x="85"/>
        <item m="1" x="103"/>
        <item m="1" x="63"/>
        <item m="1" x="29"/>
        <item m="1" x="104"/>
        <item m="1" x="65"/>
        <item m="1" x="15"/>
        <item m="1" x="39"/>
        <item m="1" x="163"/>
        <item m="1" x="148"/>
        <item m="1" x="110"/>
        <item m="1" x="134"/>
        <item m="1" x="116"/>
        <item m="1" x="101"/>
        <item m="1" x="17"/>
        <item m="1" x="161"/>
        <item m="1" x="127"/>
        <item m="1" x="32"/>
        <item m="1" x="151"/>
        <item m="1" x="35"/>
        <item m="1" x="98"/>
        <item m="1" x="25"/>
        <item m="1" x="86"/>
        <item m="1" x="23"/>
        <item m="1" x="149"/>
        <item m="1" x="166"/>
        <item m="1" x="145"/>
        <item m="1" x="70"/>
        <item m="1" x="139"/>
        <item m="1" x="132"/>
        <item m="1" x="67"/>
        <item m="1" x="20"/>
        <item m="1" x="158"/>
        <item m="1" x="22"/>
        <item x="6"/>
        <item m="1" x="120"/>
        <item m="1" x="138"/>
        <item m="1" x="82"/>
        <item m="1" x="48"/>
        <item m="1" x="97"/>
        <item m="1" x="84"/>
        <item m="1" x="28"/>
        <item m="1" x="121"/>
        <item m="1" x="45"/>
        <item m="1" x="118"/>
        <item m="1" x="76"/>
        <item m="1" x="102"/>
        <item m="1" x="47"/>
        <item m="1" x="172"/>
        <item m="1" x="142"/>
        <item m="1" x="30"/>
        <item x="0"/>
        <item x="3"/>
        <item x="4"/>
        <item x="5"/>
        <item m="1" x="93"/>
        <item m="1" x="147"/>
        <item m="1" x="133"/>
        <item m="1" x="92"/>
        <item m="1" x="128"/>
        <item m="1" x="68"/>
        <item x="12"/>
        <item x="11"/>
        <item x="13"/>
        <item x="14"/>
        <item x="10"/>
        <item m="1" x="94"/>
        <item m="1" x="140"/>
        <item m="1" x="114"/>
        <item m="1" x="71"/>
        <item m="1" x="34"/>
        <item m="1" x="77"/>
        <item m="1" x="74"/>
        <item m="1" x="122"/>
        <item m="1" x="155"/>
        <item m="1" x="123"/>
        <item m="1" x="78"/>
        <item m="1" x="46"/>
        <item m="1" x="169"/>
        <item m="1" x="96"/>
        <item m="1" x="125"/>
        <item m="1" x="141"/>
        <item m="1" x="64"/>
        <item m="1" x="115"/>
        <item m="1" x="72"/>
        <item m="1" x="42"/>
        <item m="1" x="167"/>
        <item m="1" x="153"/>
        <item m="1" x="79"/>
        <item m="1" x="111"/>
        <item m="1" x="73"/>
        <item m="1" x="60"/>
        <item m="1" x="56"/>
        <item m="1" x="107"/>
        <item m="1" x="159"/>
        <item x="1"/>
        <item x="2"/>
        <item x="7"/>
        <item x="8"/>
        <item x="9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>
      <items count="7">
        <item x="1"/>
        <item x="2"/>
        <item x="3"/>
        <item x="4"/>
        <item x="0"/>
        <item x="5"/>
        <item t="default"/>
      </items>
    </pivotField>
    <pivotField axis="axisCol" showAll="0" defaultSubtotal="0">
      <items count="3">
        <item x="1"/>
        <item x="0"/>
        <item x="2"/>
      </items>
    </pivotField>
  </pivotFields>
  <rowFields count="2">
    <field x="0"/>
    <field x="2"/>
  </rowFields>
  <rowItems count="7">
    <i>
      <x v="15"/>
      <x v="134"/>
    </i>
    <i r="1">
      <x v="135"/>
    </i>
    <i r="1">
      <x v="136"/>
    </i>
    <i r="1">
      <x v="137"/>
    </i>
    <i r="1">
      <x v="138"/>
    </i>
    <i t="default">
      <x v="15"/>
    </i>
    <i t="grand">
      <x/>
    </i>
  </rowItems>
  <colFields count="2">
    <field x="7"/>
    <field x="3"/>
  </colFields>
  <colItems count="1">
    <i>
      <x/>
      <x v="8"/>
    </i>
  </colItems>
  <dataFields count="1">
    <dataField name="Volumen_x000a_ [m³]" fld="4" baseField="0" baseItem="0"/>
  </dataFields>
  <formats count="3">
    <format dxfId="7">
      <pivotArea type="all" dataOnly="0" outline="0" fieldPosition="0"/>
    </format>
    <format dxfId="6">
      <pivotArea field="0" type="button" dataOnly="0" labelOnly="1" outline="0" axis="axisRow" fieldPosition="0"/>
    </format>
    <format dxfId="5">
      <pivotArea field="2" type="button" dataOnly="0" labelOnly="1" outline="0" axis="axisRow" fieldPosition="1"/>
    </format>
  </formats>
  <pivotTableStyleInfo name="PivotStyleMedium6" showRowHeaders="1" showColHeaders="1" showRowStripes="0" showColStripes="0" showLastColumn="1"/>
  <filters count="1">
    <filter fld="3" type="dateBetween" evalOrder="-1" id="6" name="Fecha">
      <autoFilter ref="A1">
        <filterColumn colId="0">
          <customFilters and="1">
            <customFilter operator="greaterThanOrEqual" val="44774"/>
            <customFilter operator="lessThanOrEqual" val="44804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amica Costo" cacheId="0" applyNumberFormats="0" applyBorderFormats="0" applyFontFormats="0" applyPatternFormats="0" applyAlignmentFormats="0" applyWidthHeightFormats="1" dataCaption="Valores" updatedVersion="8" minRefreshableVersion="5" showDrill="0" useAutoFormatting="1" colGrandTotals="0" itemPrintTitles="1" createdVersion="7" indent="0" outline="1" outlineData="1" multipleFieldFilters="0" rowHeaderCaption="EMSEFOR" colHeaderCaption="Fecha">
  <location ref="A20:C40" firstHeaderRow="1" firstDataRow="3" firstDataCol="2"/>
  <pivotFields count="8">
    <pivotField axis="axisRow" outline="0" showAll="0">
      <items count="26">
        <item m="1" x="16"/>
        <item m="1" x="10"/>
        <item m="1" x="6"/>
        <item m="1" x="21"/>
        <item m="1" x="24"/>
        <item m="1" x="17"/>
        <item m="1" x="4"/>
        <item m="1" x="22"/>
        <item m="1" x="9"/>
        <item m="1" x="11"/>
        <item m="1" x="15"/>
        <item m="1" x="14"/>
        <item x="0"/>
        <item m="1" x="23"/>
        <item m="1" x="2"/>
        <item x="1"/>
        <item m="1" x="8"/>
        <item m="1" x="18"/>
        <item m="1" x="13"/>
        <item m="1" x="19"/>
        <item m="1" x="3"/>
        <item m="1" x="20"/>
        <item m="1" x="12"/>
        <item m="1" x="5"/>
        <item m="1" x="7"/>
        <item t="default"/>
      </items>
    </pivotField>
    <pivotField showAll="0"/>
    <pivotField axis="axisRow" showAll="0">
      <items count="174">
        <item m="1" x="170"/>
        <item m="1" x="18"/>
        <item m="1" x="105"/>
        <item m="1" x="31"/>
        <item m="1" x="126"/>
        <item m="1" x="53"/>
        <item m="1" x="27"/>
        <item m="1" x="164"/>
        <item m="1" x="144"/>
        <item m="1" x="119"/>
        <item m="1" x="137"/>
        <item m="1" x="108"/>
        <item m="1" x="81"/>
        <item m="1" x="59"/>
        <item m="1" x="36"/>
        <item m="1" x="171"/>
        <item m="1" x="152"/>
        <item m="1" x="129"/>
        <item m="1" x="99"/>
        <item m="1" x="69"/>
        <item m="1" x="90"/>
        <item m="1" x="62"/>
        <item m="1" x="43"/>
        <item m="1" x="21"/>
        <item m="1" x="156"/>
        <item m="1" x="135"/>
        <item m="1" x="106"/>
        <item m="1" x="80"/>
        <item m="1" x="57"/>
        <item m="1" x="33"/>
        <item m="1" x="51"/>
        <item m="1" x="26"/>
        <item m="1" x="162"/>
        <item m="1" x="143"/>
        <item m="1" x="113"/>
        <item m="1" x="89"/>
        <item m="1" x="61"/>
        <item m="1" x="41"/>
        <item m="1" x="19"/>
        <item m="1" x="54"/>
        <item m="1" x="87"/>
        <item m="1" x="52"/>
        <item m="1" x="88"/>
        <item m="1" x="130"/>
        <item m="1" x="16"/>
        <item m="1" x="160"/>
        <item m="1" x="131"/>
        <item m="1" x="24"/>
        <item m="1" x="150"/>
        <item m="1" x="37"/>
        <item m="1" x="146"/>
        <item m="1" x="109"/>
        <item m="1" x="66"/>
        <item m="1" x="157"/>
        <item m="1" x="83"/>
        <item m="1" x="38"/>
        <item m="1" x="91"/>
        <item m="1" x="55"/>
        <item m="1" x="49"/>
        <item m="1" x="40"/>
        <item m="1" x="117"/>
        <item m="1" x="75"/>
        <item m="1" x="44"/>
        <item m="1" x="168"/>
        <item m="1" x="136"/>
        <item m="1" x="58"/>
        <item m="1" x="50"/>
        <item m="1" x="100"/>
        <item m="1" x="124"/>
        <item m="1" x="165"/>
        <item m="1" x="95"/>
        <item m="1" x="154"/>
        <item m="1" x="112"/>
        <item m="1" x="85"/>
        <item m="1" x="103"/>
        <item m="1" x="63"/>
        <item m="1" x="29"/>
        <item m="1" x="104"/>
        <item m="1" x="65"/>
        <item m="1" x="15"/>
        <item m="1" x="39"/>
        <item m="1" x="163"/>
        <item m="1" x="148"/>
        <item m="1" x="110"/>
        <item m="1" x="134"/>
        <item m="1" x="116"/>
        <item m="1" x="101"/>
        <item m="1" x="17"/>
        <item m="1" x="161"/>
        <item m="1" x="127"/>
        <item m="1" x="32"/>
        <item m="1" x="151"/>
        <item m="1" x="35"/>
        <item m="1" x="98"/>
        <item m="1" x="25"/>
        <item m="1" x="86"/>
        <item m="1" x="23"/>
        <item m="1" x="149"/>
        <item m="1" x="166"/>
        <item m="1" x="145"/>
        <item m="1" x="70"/>
        <item m="1" x="139"/>
        <item m="1" x="132"/>
        <item m="1" x="67"/>
        <item m="1" x="20"/>
        <item m="1" x="158"/>
        <item m="1" x="22"/>
        <item x="6"/>
        <item m="1" x="120"/>
        <item m="1" x="138"/>
        <item m="1" x="82"/>
        <item m="1" x="48"/>
        <item m="1" x="97"/>
        <item m="1" x="84"/>
        <item m="1" x="28"/>
        <item m="1" x="121"/>
        <item m="1" x="45"/>
        <item m="1" x="118"/>
        <item m="1" x="76"/>
        <item m="1" x="102"/>
        <item m="1" x="47"/>
        <item m="1" x="172"/>
        <item m="1" x="142"/>
        <item m="1" x="30"/>
        <item x="0"/>
        <item x="3"/>
        <item x="4"/>
        <item x="5"/>
        <item m="1" x="93"/>
        <item m="1" x="147"/>
        <item m="1" x="133"/>
        <item m="1" x="92"/>
        <item m="1" x="128"/>
        <item m="1" x="68"/>
        <item x="12"/>
        <item x="11"/>
        <item x="13"/>
        <item x="14"/>
        <item x="10"/>
        <item m="1" x="94"/>
        <item m="1" x="140"/>
        <item m="1" x="114"/>
        <item m="1" x="71"/>
        <item m="1" x="34"/>
        <item m="1" x="77"/>
        <item m="1" x="74"/>
        <item m="1" x="122"/>
        <item m="1" x="155"/>
        <item m="1" x="123"/>
        <item m="1" x="78"/>
        <item m="1" x="46"/>
        <item m="1" x="169"/>
        <item m="1" x="96"/>
        <item m="1" x="125"/>
        <item m="1" x="141"/>
        <item m="1" x="64"/>
        <item m="1" x="115"/>
        <item m="1" x="72"/>
        <item m="1" x="42"/>
        <item m="1" x="167"/>
        <item m="1" x="153"/>
        <item m="1" x="79"/>
        <item m="1" x="111"/>
        <item m="1" x="73"/>
        <item m="1" x="60"/>
        <item m="1" x="56"/>
        <item m="1" x="107"/>
        <item m="1" x="159"/>
        <item x="1"/>
        <item x="2"/>
        <item x="7"/>
        <item x="8"/>
        <item x="9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axis="axisCol" showAll="0" defaultSubtotal="0">
      <items count="3">
        <item x="1"/>
        <item x="0"/>
        <item x="2"/>
      </items>
    </pivotField>
  </pivotFields>
  <rowFields count="2">
    <field x="0"/>
    <field x="2"/>
  </rowFields>
  <rowItems count="18">
    <i>
      <x v="12"/>
      <x v="107"/>
    </i>
    <i r="1">
      <x v="124"/>
    </i>
    <i r="1">
      <x v="125"/>
    </i>
    <i r="1">
      <x v="126"/>
    </i>
    <i r="1">
      <x v="127"/>
    </i>
    <i r="1">
      <x v="168"/>
    </i>
    <i r="1">
      <x v="169"/>
    </i>
    <i r="1">
      <x v="170"/>
    </i>
    <i r="1">
      <x v="171"/>
    </i>
    <i r="1">
      <x v="172"/>
    </i>
    <i t="default">
      <x v="12"/>
    </i>
    <i>
      <x v="15"/>
      <x v="134"/>
    </i>
    <i r="1">
      <x v="135"/>
    </i>
    <i r="1">
      <x v="136"/>
    </i>
    <i r="1">
      <x v="137"/>
    </i>
    <i r="1">
      <x v="138"/>
    </i>
    <i t="default">
      <x v="15"/>
    </i>
    <i t="grand">
      <x/>
    </i>
  </rowItems>
  <colFields count="2">
    <field x="7"/>
    <field x="3"/>
  </colFields>
  <colItems count="1">
    <i>
      <x/>
      <x v="8"/>
    </i>
  </colItems>
  <dataFields count="1">
    <dataField name="Costo de la intervención [$]" fld="5" baseField="0" baseItem="0"/>
  </dataFields>
  <formats count="4">
    <format dxfId="4">
      <pivotArea type="all" dataOnly="0" outline="0" fieldPosition="0"/>
    </format>
    <format dxfId="3">
      <pivotArea field="0" type="button" dataOnly="0" labelOnly="1" outline="0" axis="axisRow" fieldPosition="0"/>
    </format>
    <format dxfId="2">
      <pivotArea field="2" type="button" dataOnly="0" labelOnly="1" outline="0" axis="axisRow" fieldPosition="1"/>
    </format>
    <format dxfId="1">
      <pivotArea dataOnly="0" outline="0" fieldPosition="0">
        <references count="1">
          <reference field="3" count="10"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tratista" xr10:uid="{00000000-0013-0000-FFFF-FFFF01000000}" sourceName="Contratista">
  <pivotTables>
    <pivotTable tabId="153" name="Tabla Dinamica Volumen"/>
  </pivotTables>
  <data>
    <tabular pivotCacheId="1431239135">
      <items count="25">
        <i x="0"/>
        <i x="1" s="1"/>
        <i x="14" nd="1"/>
        <i x="16" nd="1"/>
        <i x="2" nd="1"/>
        <i x="6" nd="1"/>
        <i x="24" nd="1"/>
        <i x="10" nd="1"/>
        <i x="8" nd="1"/>
        <i x="21" nd="1"/>
        <i x="22" nd="1"/>
        <i x="18" nd="1"/>
        <i x="9" nd="1"/>
        <i x="11" nd="1"/>
        <i x="15" nd="1"/>
        <i x="17" nd="1"/>
        <i x="13" nd="1"/>
        <i x="19" nd="1"/>
        <i x="3" nd="1"/>
        <i x="23" nd="1"/>
        <i x="20" nd="1"/>
        <i x="12" nd="1"/>
        <i x="5" nd="1"/>
        <i x="4" nd="1"/>
        <i x="7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odal" xr10:uid="{00000000-0013-0000-FFFF-FFFF02000000}" sourceName="Rodal">
  <pivotTables>
    <pivotTable tabId="153" name="Tabla Dinamica Volumen"/>
  </pivotTables>
  <data>
    <tabular pivotCacheId="1431239135">
      <items count="173">
        <i x="12" s="1"/>
        <i x="11" s="1"/>
        <i x="13" s="1"/>
        <i x="14" s="1"/>
        <i x="10" s="1"/>
        <i x="170" s="1" nd="1"/>
        <i x="18" s="1" nd="1"/>
        <i x="145" s="1" nd="1"/>
        <i x="105" s="1" nd="1"/>
        <i x="66" s="1" nd="1"/>
        <i x="31" s="1" nd="1"/>
        <i x="157" s="1" nd="1"/>
        <i x="126" s="1" nd="1"/>
        <i x="83" s="1" nd="1"/>
        <i x="38" s="1" nd="1"/>
        <i x="53" s="1" nd="1"/>
        <i x="27" s="1" nd="1"/>
        <i x="164" s="1" nd="1"/>
        <i x="144" s="1" nd="1"/>
        <i x="119" s="1" nd="1"/>
        <i x="137" s="1" nd="1"/>
        <i x="108" s="1" nd="1"/>
        <i x="81" s="1" nd="1"/>
        <i x="59" s="1" nd="1"/>
        <i x="36" s="1" nd="1"/>
        <i x="171" s="1" nd="1"/>
        <i x="152" s="1" nd="1"/>
        <i x="129" s="1" nd="1"/>
        <i x="99" s="1" nd="1"/>
        <i x="69" s="1" nd="1"/>
        <i x="90" s="1" nd="1"/>
        <i x="62" s="1" nd="1"/>
        <i x="43" s="1" nd="1"/>
        <i x="21" s="1" nd="1"/>
        <i x="156" s="1" nd="1"/>
        <i x="135" s="1" nd="1"/>
        <i x="106" s="1" nd="1"/>
        <i x="80" s="1" nd="1"/>
        <i x="57" s="1" nd="1"/>
        <i x="33" s="1" nd="1"/>
        <i x="51" s="1" nd="1"/>
        <i x="26" s="1" nd="1"/>
        <i x="162" s="1" nd="1"/>
        <i x="143" s="1" nd="1"/>
        <i x="113" s="1" nd="1"/>
        <i x="89" s="1" nd="1"/>
        <i x="61" s="1" nd="1"/>
        <i x="41" s="1" nd="1"/>
        <i x="19" s="1" nd="1"/>
        <i x="91" s="1" nd="1"/>
        <i x="55" s="1" nd="1"/>
        <i x="166" s="1" nd="1"/>
        <i x="22" s="1" nd="1"/>
        <i x="52" s="1" nd="1"/>
        <i x="32" s="1" nd="1"/>
        <i x="127" s="1" nd="1"/>
        <i x="161" s="1" nd="1"/>
        <i x="131" s="1" nd="1"/>
        <i x="88" s="1" nd="1"/>
        <i x="54" s="1" nd="1"/>
        <i x="16" s="1" nd="1"/>
        <i x="86" s="1" nd="1"/>
        <i x="23" s="1" nd="1"/>
        <i x="149" s="1" nd="1"/>
        <i x="146" s="1" nd="1"/>
        <i x="109" s="1" nd="1"/>
        <i x="67" s="1" nd="1"/>
        <i x="37" s="1" nd="1"/>
        <i x="160" s="1" nd="1"/>
        <i x="130" s="1" nd="1"/>
        <i x="87" s="1" nd="1"/>
        <i x="132" s="1" nd="1"/>
        <i x="20" s="1" nd="1"/>
        <i x="158" s="1" nd="1"/>
        <i x="24" s="1" nd="1"/>
        <i x="150" s="1" nd="1"/>
        <i x="0" s="1" nd="1"/>
        <i x="1" s="1" nd="1"/>
        <i x="2" s="1" nd="1"/>
        <i x="3" s="1" nd="1"/>
        <i x="4" s="1" nd="1"/>
        <i x="5" s="1" nd="1"/>
        <i x="6" s="1" nd="1"/>
        <i x="7" s="1" nd="1"/>
        <i x="120" s="1" nd="1"/>
        <i x="138" s="1" nd="1"/>
        <i x="82" s="1" nd="1"/>
        <i x="48" s="1" nd="1"/>
        <i x="97" s="1" nd="1"/>
        <i x="84" s="1" nd="1"/>
        <i x="8" s="1" nd="1"/>
        <i x="9" s="1" nd="1"/>
        <i x="153" s="1" nd="1"/>
        <i x="79" s="1" nd="1"/>
        <i x="98" s="1" nd="1"/>
        <i x="111" s="1" nd="1"/>
        <i x="73" s="1" nd="1"/>
        <i x="60" s="1" nd="1"/>
        <i x="56" s="1" nd="1"/>
        <i x="107" s="1" nd="1"/>
        <i x="159" s="1" nd="1"/>
        <i x="35" s="1" nd="1"/>
        <i x="93" s="1" nd="1"/>
        <i x="147" s="1" nd="1"/>
        <i x="133" s="1" nd="1"/>
        <i x="34" s="1" nd="1"/>
        <i x="49" s="1" nd="1"/>
        <i x="74" s="1" nd="1"/>
        <i x="122" s="1" nd="1"/>
        <i x="77" s="1" nd="1"/>
        <i x="92" s="1" nd="1"/>
        <i x="128" s="1" nd="1"/>
        <i x="68" s="1" nd="1"/>
        <i x="94" s="1" nd="1"/>
        <i x="140" s="1" nd="1"/>
        <i x="114" s="1" nd="1"/>
        <i x="71" s="1" nd="1"/>
        <i x="25" s="1" nd="1"/>
        <i x="139" s="1" nd="1"/>
        <i x="70" s="1" nd="1"/>
        <i x="40" s="1" nd="1"/>
        <i x="117" s="1" nd="1"/>
        <i x="75" s="1" nd="1"/>
        <i x="44" s="1" nd="1"/>
        <i x="168" s="1" nd="1"/>
        <i x="136" s="1" nd="1"/>
        <i x="58" s="1" nd="1"/>
        <i x="50" s="1" nd="1"/>
        <i x="100" s="1" nd="1"/>
        <i x="124" s="1" nd="1"/>
        <i x="165" s="1" nd="1"/>
        <i x="95" s="1" nd="1"/>
        <i x="154" s="1" nd="1"/>
        <i x="155" s="1" nd="1"/>
        <i x="112" s="1" nd="1"/>
        <i x="123" s="1" nd="1"/>
        <i x="78" s="1" nd="1"/>
        <i x="46" s="1" nd="1"/>
        <i x="169" s="1" nd="1"/>
        <i x="96" s="1" nd="1"/>
        <i x="125" s="1" nd="1"/>
        <i x="141" s="1" nd="1"/>
        <i x="64" s="1" nd="1"/>
        <i x="115" s="1" nd="1"/>
        <i x="72" s="1" nd="1"/>
        <i x="42" s="1" nd="1"/>
        <i x="167" s="1" nd="1"/>
        <i x="102" s="1" nd="1"/>
        <i x="47" s="1" nd="1"/>
        <i x="172" s="1" nd="1"/>
        <i x="142" s="1" nd="1"/>
        <i x="30" s="1" nd="1"/>
        <i x="85" s="1" nd="1"/>
        <i x="103" s="1" nd="1"/>
        <i x="63" s="1" nd="1"/>
        <i x="29" s="1" nd="1"/>
        <i x="104" s="1" nd="1"/>
        <i x="65" s="1" nd="1"/>
        <i x="15" s="1" nd="1"/>
        <i x="39" s="1" nd="1"/>
        <i x="163" s="1" nd="1"/>
        <i x="151" s="1" nd="1"/>
        <i x="28" s="1" nd="1"/>
        <i x="121" s="1" nd="1"/>
        <i x="45" s="1" nd="1"/>
        <i x="118" s="1" nd="1"/>
        <i x="76" s="1" nd="1"/>
        <i x="148" s="1" nd="1"/>
        <i x="110" s="1" nd="1"/>
        <i x="134" s="1" nd="1"/>
        <i x="116" s="1" nd="1"/>
        <i x="101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ntratista1" xr10:uid="{00000000-0013-0000-FFFF-FFFF03000000}" sourceName="Contratista">
  <pivotTables>
    <pivotTable tabId="154" name="Tabla Dinamica Costo"/>
  </pivotTables>
  <data>
    <tabular pivotCacheId="1431239135">
      <items count="25">
        <i x="0" s="1"/>
        <i x="1" s="1"/>
        <i x="14" s="1" nd="1"/>
        <i x="16" s="1" nd="1"/>
        <i x="2" s="1" nd="1"/>
        <i x="6" s="1" nd="1"/>
        <i x="24" s="1" nd="1"/>
        <i x="10" s="1" nd="1"/>
        <i x="8" s="1" nd="1"/>
        <i x="21" s="1" nd="1"/>
        <i x="22" s="1" nd="1"/>
        <i x="18" s="1" nd="1"/>
        <i x="9" s="1" nd="1"/>
        <i x="11" s="1" nd="1"/>
        <i x="15" s="1" nd="1"/>
        <i x="17" s="1" nd="1"/>
        <i x="13" s="1" nd="1"/>
        <i x="19" s="1" nd="1"/>
        <i x="3" s="1" nd="1"/>
        <i x="23" s="1" nd="1"/>
        <i x="20" s="1" nd="1"/>
        <i x="12" s="1" nd="1"/>
        <i x="5" s="1" nd="1"/>
        <i x="4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odal1" xr10:uid="{00000000-0013-0000-FFFF-FFFF04000000}" sourceName="Rodal">
  <pivotTables>
    <pivotTable tabId="154" name="Tabla Dinamica Costo"/>
  </pivotTables>
  <data>
    <tabular pivotCacheId="1431239135">
      <items count="173">
        <i x="0" s="1"/>
        <i x="1" s="1"/>
        <i x="2" s="1"/>
        <i x="3" s="1"/>
        <i x="4" s="1"/>
        <i x="5" s="1"/>
        <i x="6" s="1"/>
        <i x="7" s="1"/>
        <i x="8" s="1"/>
        <i x="9" s="1"/>
        <i x="12" s="1"/>
        <i x="11" s="1"/>
        <i x="13" s="1"/>
        <i x="14" s="1"/>
        <i x="10" s="1"/>
        <i x="170" s="1" nd="1"/>
        <i x="18" s="1" nd="1"/>
        <i x="145" s="1" nd="1"/>
        <i x="105" s="1" nd="1"/>
        <i x="66" s="1" nd="1"/>
        <i x="31" s="1" nd="1"/>
        <i x="157" s="1" nd="1"/>
        <i x="126" s="1" nd="1"/>
        <i x="83" s="1" nd="1"/>
        <i x="38" s="1" nd="1"/>
        <i x="53" s="1" nd="1"/>
        <i x="27" s="1" nd="1"/>
        <i x="164" s="1" nd="1"/>
        <i x="144" s="1" nd="1"/>
        <i x="119" s="1" nd="1"/>
        <i x="137" s="1" nd="1"/>
        <i x="108" s="1" nd="1"/>
        <i x="81" s="1" nd="1"/>
        <i x="59" s="1" nd="1"/>
        <i x="36" s="1" nd="1"/>
        <i x="171" s="1" nd="1"/>
        <i x="152" s="1" nd="1"/>
        <i x="129" s="1" nd="1"/>
        <i x="99" s="1" nd="1"/>
        <i x="69" s="1" nd="1"/>
        <i x="90" s="1" nd="1"/>
        <i x="62" s="1" nd="1"/>
        <i x="43" s="1" nd="1"/>
        <i x="21" s="1" nd="1"/>
        <i x="156" s="1" nd="1"/>
        <i x="135" s="1" nd="1"/>
        <i x="106" s="1" nd="1"/>
        <i x="80" s="1" nd="1"/>
        <i x="57" s="1" nd="1"/>
        <i x="33" s="1" nd="1"/>
        <i x="51" s="1" nd="1"/>
        <i x="26" s="1" nd="1"/>
        <i x="162" s="1" nd="1"/>
        <i x="143" s="1" nd="1"/>
        <i x="113" s="1" nd="1"/>
        <i x="89" s="1" nd="1"/>
        <i x="61" s="1" nd="1"/>
        <i x="41" s="1" nd="1"/>
        <i x="19" s="1" nd="1"/>
        <i x="91" s="1" nd="1"/>
        <i x="55" s="1" nd="1"/>
        <i x="166" s="1" nd="1"/>
        <i x="22" s="1" nd="1"/>
        <i x="52" s="1" nd="1"/>
        <i x="32" s="1" nd="1"/>
        <i x="127" s="1" nd="1"/>
        <i x="161" s="1" nd="1"/>
        <i x="131" s="1" nd="1"/>
        <i x="88" s="1" nd="1"/>
        <i x="54" s="1" nd="1"/>
        <i x="16" s="1" nd="1"/>
        <i x="86" s="1" nd="1"/>
        <i x="23" s="1" nd="1"/>
        <i x="149" s="1" nd="1"/>
        <i x="146" s="1" nd="1"/>
        <i x="109" s="1" nd="1"/>
        <i x="67" s="1" nd="1"/>
        <i x="37" s="1" nd="1"/>
        <i x="160" s="1" nd="1"/>
        <i x="130" s="1" nd="1"/>
        <i x="87" s="1" nd="1"/>
        <i x="132" s="1" nd="1"/>
        <i x="20" s="1" nd="1"/>
        <i x="158" s="1" nd="1"/>
        <i x="24" s="1" nd="1"/>
        <i x="150" s="1" nd="1"/>
        <i x="120" s="1" nd="1"/>
        <i x="138" s="1" nd="1"/>
        <i x="82" s="1" nd="1"/>
        <i x="48" s="1" nd="1"/>
        <i x="97" s="1" nd="1"/>
        <i x="84" s="1" nd="1"/>
        <i x="153" s="1" nd="1"/>
        <i x="79" s="1" nd="1"/>
        <i x="98" s="1" nd="1"/>
        <i x="111" s="1" nd="1"/>
        <i x="73" s="1" nd="1"/>
        <i x="60" s="1" nd="1"/>
        <i x="56" s="1" nd="1"/>
        <i x="107" s="1" nd="1"/>
        <i x="159" s="1" nd="1"/>
        <i x="35" s="1" nd="1"/>
        <i x="93" s="1" nd="1"/>
        <i x="147" s="1" nd="1"/>
        <i x="133" s="1" nd="1"/>
        <i x="34" s="1" nd="1"/>
        <i x="49" s="1" nd="1"/>
        <i x="74" s="1" nd="1"/>
        <i x="122" s="1" nd="1"/>
        <i x="77" s="1" nd="1"/>
        <i x="92" s="1" nd="1"/>
        <i x="128" s="1" nd="1"/>
        <i x="68" s="1" nd="1"/>
        <i x="94" s="1" nd="1"/>
        <i x="140" s="1" nd="1"/>
        <i x="114" s="1" nd="1"/>
        <i x="71" s="1" nd="1"/>
        <i x="25" s="1" nd="1"/>
        <i x="139" s="1" nd="1"/>
        <i x="70" s="1" nd="1"/>
        <i x="40" s="1" nd="1"/>
        <i x="117" s="1" nd="1"/>
        <i x="75" s="1" nd="1"/>
        <i x="44" s="1" nd="1"/>
        <i x="168" s="1" nd="1"/>
        <i x="136" s="1" nd="1"/>
        <i x="58" s="1" nd="1"/>
        <i x="50" s="1" nd="1"/>
        <i x="100" s="1" nd="1"/>
        <i x="124" s="1" nd="1"/>
        <i x="165" s="1" nd="1"/>
        <i x="95" s="1" nd="1"/>
        <i x="154" s="1" nd="1"/>
        <i x="155" s="1" nd="1"/>
        <i x="112" s="1" nd="1"/>
        <i x="123" s="1" nd="1"/>
        <i x="78" s="1" nd="1"/>
        <i x="46" s="1" nd="1"/>
        <i x="169" s="1" nd="1"/>
        <i x="96" s="1" nd="1"/>
        <i x="125" s="1" nd="1"/>
        <i x="141" s="1" nd="1"/>
        <i x="64" s="1" nd="1"/>
        <i x="115" s="1" nd="1"/>
        <i x="72" s="1" nd="1"/>
        <i x="42" s="1" nd="1"/>
        <i x="167" s="1" nd="1"/>
        <i x="102" s="1" nd="1"/>
        <i x="47" s="1" nd="1"/>
        <i x="172" s="1" nd="1"/>
        <i x="142" s="1" nd="1"/>
        <i x="30" s="1" nd="1"/>
        <i x="85" s="1" nd="1"/>
        <i x="103" s="1" nd="1"/>
        <i x="63" s="1" nd="1"/>
        <i x="29" s="1" nd="1"/>
        <i x="104" s="1" nd="1"/>
        <i x="65" s="1" nd="1"/>
        <i x="15" s="1" nd="1"/>
        <i x="39" s="1" nd="1"/>
        <i x="163" s="1" nd="1"/>
        <i x="151" s="1" nd="1"/>
        <i x="28" s="1" nd="1"/>
        <i x="121" s="1" nd="1"/>
        <i x="45" s="1" nd="1"/>
        <i x="118" s="1" nd="1"/>
        <i x="76" s="1" nd="1"/>
        <i x="148" s="1" nd="1"/>
        <i x="110" s="1" nd="1"/>
        <i x="134" s="1" nd="1"/>
        <i x="116" s="1" nd="1"/>
        <i x="101" s="1" nd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ntratista" xr10:uid="{00000000-0014-0000-FFFF-FFFF01000000}" cache="SegmentaciónDeDatos_Contratista" caption="Contratista" style="SlicerStyleLight2" rowHeight="241300"/>
  <slicer name="Rodal" xr10:uid="{00000000-0014-0000-FFFF-FFFF02000000}" cache="SegmentaciónDeDatos_Rodal" caption="Rodal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ontratista 1" xr10:uid="{00000000-0014-0000-FFFF-FFFF04000000}" cache="SegmentaciónDeDatos_Contratista1" caption="Contratista" style="SlicerStyleLight2" rowHeight="241300"/>
  <slicer name="Rodal 1" xr10:uid="{00000000-0014-0000-FFFF-FFFF05000000}" cache="SegmentaciónDeDatos_Rodal1" caption="Rodal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4" displayName="Tabla4" ref="A1:Q61" totalsRowShown="0" headerRowDxfId="86">
  <autoFilter ref="A1:Q61" xr:uid="{00000000-0009-0000-0100-000001000000}"/>
  <sortState xmlns:xlrd2="http://schemas.microsoft.com/office/spreadsheetml/2017/richdata2" ref="A2:O52">
    <sortCondition ref="A1:A52"/>
  </sortState>
  <tableColumns count="17">
    <tableColumn id="1" xr3:uid="{00000000-0010-0000-0000-000001000000}" name="Código del Sitio" dataDxfId="85"/>
    <tableColumn id="2" xr3:uid="{00000000-0010-0000-0000-000002000000}" name="Dcr Fundo" dataDxfId="84"/>
    <tableColumn id="3" xr3:uid="{00000000-0010-0000-0000-000003000000}" name="Polígono" dataDxfId="83">
      <calculatedColumnFormula>Tabla4[[#This Row],[Dcr Fundo]]&amp;"-"&amp;Tabla4[[#This Row],[Código del Sitio]]</calculatedColumnFormula>
    </tableColumn>
    <tableColumn id="4" xr3:uid="{00000000-0010-0000-0000-000004000000}" name="Superficie [ha]" dataDxfId="82"/>
    <tableColumn id="6" xr3:uid="{00000000-0010-0000-0000-000006000000}" name="Especie" dataDxfId="81"/>
    <tableColumn id="5" xr3:uid="{00000000-0010-0000-0000-000005000000}" name="N° de Plantas" dataDxfId="80" dataCellStyle="Millares"/>
    <tableColumn id="8" xr3:uid="{00000000-0010-0000-0000-000008000000}" name="Volumen de árbol medio [m³/Árbol]" dataDxfId="79" dataCellStyle="Millares"/>
    <tableColumn id="7" xr3:uid="{00000000-0010-0000-0000-000007000000}" name="Volumen por Hectárea [m³/ha]" dataDxfId="78" dataCellStyle="Millares"/>
    <tableColumn id="10" xr3:uid="{00000000-0010-0000-0000-00000A000000}" name="DAP [cm]" dataDxfId="77"/>
    <tableColumn id="11" xr3:uid="{00000000-0010-0000-0000-00000B000000}" name="Altura media [m]" dataDxfId="76"/>
    <tableColumn id="12" xr3:uid="{00000000-0010-0000-0000-00000C000000}" name="DME [m]" dataDxfId="75"/>
    <tableColumn id="13" xr3:uid="{00000000-0010-0000-0000-00000D000000}" name="Pendiente [decimal]" dataDxfId="74"/>
    <tableColumn id="14" xr3:uid="{00000000-0010-0000-0000-00000E000000}" name="Volumen a cosechar [m³ totales]" dataDxfId="73" dataCellStyle="Millares"/>
    <tableColumn id="15" xr3:uid="{00000000-0010-0000-0000-00000F000000}" name="Precio contratante [$/m³]" dataDxfId="72"/>
    <tableColumn id="9" xr3:uid="{00000000-0010-0000-0000-000009000000}" name="Proporción volumen aprovechado [%]" dataDxfId="71"/>
    <tableColumn id="16" xr3:uid="{00000000-0010-0000-0000-000010000000}" name="Columna1"/>
    <tableColumn id="17" xr3:uid="{00000000-0010-0000-0000-000011000000}" name="Columna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atos_Generales" displayName="Datos_Generales" ref="A1:AA2" totalsRowShown="0" headerRowDxfId="70">
  <autoFilter ref="A1:AA2" xr:uid="{00000000-0009-0000-0100-000002000000}"/>
  <tableColumns count="27">
    <tableColumn id="1" xr3:uid="{00000000-0010-0000-0100-000001000000}" name="Actualización de costos " dataDxfId="69"/>
    <tableColumn id="2" xr3:uid="{00000000-0010-0000-0100-000002000000}" name="TASA_INT_CAP_PROPIO"/>
    <tableColumn id="4" xr3:uid="{00000000-0010-0000-0100-000004000000}" name="PRES_COMB_SIVA"/>
    <tableColumn id="5" xr3:uid="{00000000-0010-0000-0100-000005000000}" name="PRES_ACEITE_MOTOR" dataDxfId="68">
      <calculatedColumnFormula>550*0.19</calculatedColumnFormula>
    </tableColumn>
    <tableColumn id="6" xr3:uid="{00000000-0010-0000-0100-000006000000}" name="PRES_ACEITE_TRANS" dataDxfId="67">
      <calculatedColumnFormula>310*0.19</calculatedColumnFormula>
    </tableColumn>
    <tableColumn id="7" xr3:uid="{00000000-0010-0000-0100-000007000000}" name="PRES_ACEITE_HIDRA" dataDxfId="66">
      <calculatedColumnFormula>370/1.21</calculatedColumnFormula>
    </tableColumn>
    <tableColumn id="8" xr3:uid="{00000000-0010-0000-0100-000008000000}" name="PRES_GRASA" dataDxfId="65">
      <calculatedColumnFormula>322/1.21</calculatedColumnFormula>
    </tableColumn>
    <tableColumn id="14" xr3:uid="{00000000-0010-0000-0100-00000E000000}" name="Costo_Administrativo" dataDxfId="64"/>
    <tableColumn id="15" xr3:uid="{00000000-0010-0000-0100-00000F000000}" name="SEGURIDAD SOCIAL (LEY 24.241)"/>
    <tableColumn id="16" xr3:uid="{00000000-0010-0000-0100-000010000000}" name="ART"/>
    <tableColumn id="17" xr3:uid="{00000000-0010-0000-0100-000011000000}" name="SEGURIDAD SOCIAL (LEY 23.660)"/>
    <tableColumn id="20" xr3:uid="{00000000-0010-0000-0100-000014000000}" name="CARGA SOCIAL (12%) "/>
    <tableColumn id="21" xr3:uid="{00000000-0010-0000-0100-000015000000}" name="VACACIONES-ENFERMEDAD"/>
    <tableColumn id="22" xr3:uid="{00000000-0010-0000-0100-000016000000}" name="INSSJP (LEY 19.032)"/>
    <tableColumn id="18" xr3:uid="{00000000-0010-0000-0100-000012000000}" name="ASIGNACION FAMILIAR (LEY 24.714)"/>
    <tableColumn id="19" xr3:uid="{00000000-0010-0000-0100-000013000000}" name="SUELDO ANUAL COMPLEMENTARIO"/>
    <tableColumn id="23" xr3:uid="{00000000-0010-0000-0100-000017000000}" name="SEGURO DE VIDA OBLIGATORIO "/>
    <tableColumn id="24" xr3:uid="{00000000-0010-0000-0100-000018000000}" name="UNIFORME "/>
    <tableColumn id="25" xr3:uid="{00000000-0010-0000-0100-000019000000}" name="BOTIN DE SEGURIDAD"/>
    <tableColumn id="26" xr3:uid="{00000000-0010-0000-0100-00001A000000}" name="GUANTE">
      <calculatedColumnFormula>ROUND(450/1.21,0)</calculatedColumnFormula>
    </tableColumn>
    <tableColumn id="27" xr3:uid="{00000000-0010-0000-0100-00001B000000}" name="PROTECTOR AUDITIVO " dataDxfId="63">
      <calculatedColumnFormula>390/1.21</calculatedColumnFormula>
    </tableColumn>
    <tableColumn id="28" xr3:uid="{00000000-0010-0000-0100-00001C000000}" name="CASCO-CHALECO " dataDxfId="62">
      <calculatedColumnFormula>745/1.21</calculatedColumnFormula>
    </tableColumn>
    <tableColumn id="10" xr3:uid="{00000000-0010-0000-0100-00000A000000}" name="ALOJAMIENTO_DIA_PERSONA"/>
    <tableColumn id="11" xr3:uid="{00000000-0010-0000-0100-00000B000000}" name="VIANDA_DIA"/>
    <tableColumn id="13" xr3:uid="{00000000-0010-0000-0100-00000D000000}" name="AUSENTISMO"/>
    <tableColumn id="29" xr3:uid="{00000000-0010-0000-0100-00001D000000}" name="PRECIO_ACEITE_CADENA" dataDxfId="61">
      <calculatedColumnFormula>282/1.21</calculatedColumnFormula>
    </tableColumn>
    <tableColumn id="3" xr3:uid="{00000000-0010-0000-0100-000003000000}" name="DÓLAR-PES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Costos_Maquina87" displayName="Costos_Maquina87" ref="A1:AR51" totalsRowShown="0" headerRowDxfId="60">
  <autoFilter ref="A1:AR51" xr:uid="{00000000-0009-0000-0100-000006000000}"/>
  <tableColumns count="44">
    <tableColumn id="1" xr3:uid="{00000000-0010-0000-0200-000001000000}" name="Tipo de Máquina" dataDxfId="59"/>
    <tableColumn id="2" xr3:uid="{00000000-0010-0000-0200-000002000000}" name="Modelo " dataDxfId="58"/>
    <tableColumn id="3" xr3:uid="{00000000-0010-0000-0200-000003000000}" name="Nombre [Fantasía]" dataDxfId="57"/>
    <tableColumn id="4" xr3:uid="{00000000-0010-0000-0200-000004000000}" name="Cosecha" dataDxfId="56"/>
    <tableColumn id="42" xr3:uid="{00000000-0010-0000-0200-00002A000000}" name="Emsefor" dataDxfId="55"/>
    <tableColumn id="5" xr3:uid="{00000000-0010-0000-0200-000005000000}" name="Tarea" dataDxfId="54"/>
    <tableColumn id="6" xr3:uid="{00000000-0010-0000-0200-000006000000}" name="Actualización de costos " dataDxfId="53"/>
    <tableColumn id="7" xr3:uid="{00000000-0010-0000-0200-000007000000}" name="Eficiencia Operacional" dataDxfId="52"/>
    <tableColumn id="45" xr3:uid="{00000000-0010-0000-0200-00002D000000}" name="Dias_Mes" dataDxfId="51"/>
    <tableColumn id="43" xr3:uid="{00000000-0010-0000-0200-00002B000000}" name="Horas_turno" dataDxfId="50"/>
    <tableColumn id="44" xr3:uid="{00000000-0010-0000-0200-00002C000000}" name="N_turnos" dataDxfId="49"/>
    <tableColumn id="46" xr3:uid="{00000000-0010-0000-0200-00002E000000}" name="Horas_Uso_año" dataDxfId="48"/>
    <tableColumn id="8" xr3:uid="{00000000-0010-0000-0200-000008000000}" name="TASA_SEGURO_ANUAL" dataDxfId="47"/>
    <tableColumn id="9" xr3:uid="{00000000-0010-0000-0200-000009000000}" name="VA_MAQ" dataDxfId="46"/>
    <tableColumn id="10" xr3:uid="{00000000-0010-0000-0200-00000A000000}" name="VA_IMP" dataDxfId="45"/>
    <tableColumn id="11" xr3:uid="{00000000-0010-0000-0200-00000B000000}" name="VA_SIST_ROD_MAQ" dataDxfId="44"/>
    <tableColumn id="12" xr3:uid="{00000000-0010-0000-0200-00000C000000}" name="VA_SIST_ROD_IMP" dataDxfId="43"/>
    <tableColumn id="13" xr3:uid="{00000000-0010-0000-0200-00000D000000}" name="VIDA_UTIL_MAQ" dataDxfId="42"/>
    <tableColumn id="14" xr3:uid="{00000000-0010-0000-0200-00000E000000}" name="VIDA_UTIL_MAQ_AÑOS" dataDxfId="41"/>
    <tableColumn id="15" xr3:uid="{00000000-0010-0000-0200-00000F000000}" name="VIDA_UTIL_IMP" dataDxfId="40"/>
    <tableColumn id="16" xr3:uid="{00000000-0010-0000-0200-000010000000}" name="VIDA_UTIL_IMP_AÑOS" dataDxfId="39"/>
    <tableColumn id="17" xr3:uid="{00000000-0010-0000-0200-000011000000}" name="VIDA_UTIL_SROD_MAQ" dataDxfId="38"/>
    <tableColumn id="18" xr3:uid="{00000000-0010-0000-0200-000012000000}" name="VIDA_UTIL_SROD_IMP" dataDxfId="37"/>
    <tableColumn id="19" xr3:uid="{00000000-0010-0000-0200-000013000000}" name="FACT_ARREGLO_MEC" dataDxfId="36"/>
    <tableColumn id="23" xr3:uid="{00000000-0010-0000-0200-000017000000}" name="FACT_VAR_RES" dataDxfId="35"/>
    <tableColumn id="24" xr3:uid="{00000000-0010-0000-0200-000018000000}" name="CONS_COMB" dataDxfId="34"/>
    <tableColumn id="25" xr3:uid="{00000000-0010-0000-0200-000019000000}" name="CONS_ACEITE_MOTOR" dataDxfId="33"/>
    <tableColumn id="26" xr3:uid="{00000000-0010-0000-0200-00001A000000}" name="CONS_ACEITE_TRANS" dataDxfId="32"/>
    <tableColumn id="27" xr3:uid="{00000000-0010-0000-0200-00001B000000}" name="CONS_ACEITE_HIDRA" dataDxfId="31"/>
    <tableColumn id="28" xr3:uid="{00000000-0010-0000-0200-00001C000000}" name="CONS_GRASA" dataDxfId="30"/>
    <tableColumn id="29" xr3:uid="{00000000-0010-0000-0200-00001D000000}" name="COSTO_HORA_FILTROS" dataDxfId="29"/>
    <tableColumn id="30" xr3:uid="{00000000-0010-0000-0200-00001E000000}" name="MANTENIMIENTO_ORUGAS_HORA" dataDxfId="28"/>
    <tableColumn id="31" xr3:uid="{00000000-0010-0000-0200-00001F000000}" name="MANGUERAS_HORA" dataDxfId="27"/>
    <tableColumn id="32" xr3:uid="{00000000-0010-0000-0200-000020000000}" name="ANTIGÜEDAD_OPERARIO" dataDxfId="26"/>
    <tableColumn id="34" xr3:uid="{00000000-0010-0000-0200-000022000000}" name="SALARIO_BASICO_MES" dataDxfId="25"/>
    <tableColumn id="33" xr3:uid="{00000000-0010-0000-0200-000021000000}" name="ACEITE_CADENA_HORA" dataDxfId="24"/>
    <tableColumn id="35" xr3:uid="{00000000-0010-0000-0200-000023000000}" name="ESPADA_HORA" dataDxfId="23"/>
    <tableColumn id="36" xr3:uid="{00000000-0010-0000-0200-000024000000}" name="CADENA_HORA" dataDxfId="22"/>
    <tableColumn id="37" xr3:uid="{00000000-0010-0000-0200-000025000000}" name="MOVILIDAD_DIA" dataDxfId="21"/>
    <tableColumn id="38" xr3:uid="{00000000-0010-0000-0200-000026000000}" name="SUPERVISION_PORCENTAJE" dataDxfId="20"/>
    <tableColumn id="39" xr3:uid="{00000000-0010-0000-0200-000027000000}" name="Margen_ganancia" dataDxfId="19"/>
    <tableColumn id="40" xr3:uid="{00000000-0010-0000-0200-000028000000}" name="TALLER_PORCENTAJE" dataDxfId="18"/>
    <tableColumn id="41" xr3:uid="{00000000-0010-0000-0200-000029000000}" name="ADMINISTRACION_PORCENTAJE" dataDxfId="17"/>
    <tableColumn id="20" xr3:uid="{00000000-0010-0000-0200-000014000000}" name="MB HORAS" dataDxfId="16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14" displayName="Tabla14" ref="A1:H42" totalsRowShown="0" headerRowDxfId="15">
  <autoFilter ref="A1:H42" xr:uid="{00000000-0009-0000-0100-000004000000}"/>
  <sortState xmlns:xlrd2="http://schemas.microsoft.com/office/spreadsheetml/2017/richdata2" ref="A2:H31">
    <sortCondition ref="C1:C31"/>
  </sortState>
  <tableColumns count="8">
    <tableColumn id="1" xr3:uid="{00000000-0010-0000-0300-000001000000}" name="Código"/>
    <tableColumn id="13" xr3:uid="{00000000-0010-0000-0300-00000D000000}" name="Cosecha" dataDxfId="14"/>
    <tableColumn id="2" xr3:uid="{00000000-0010-0000-0300-000002000000}" name="Tipo de Máquina" dataDxfId="13"/>
    <tableColumn id="3" xr3:uid="{00000000-0010-0000-0300-000003000000}" name="Modelo" dataDxfId="12"/>
    <tableColumn id="4" xr3:uid="{00000000-0010-0000-0300-000004000000}" name="Operación"/>
    <tableColumn id="12" xr3:uid="{00000000-0010-0000-0300-00000C000000}" name="Tarea" dataDxfId="11"/>
    <tableColumn id="11" xr3:uid="{00000000-0010-0000-0300-00000B000000}" name="Modelo2"/>
    <tableColumn id="14" xr3:uid="{00000000-0010-0000-0300-00000E000000}" name="Estad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a_Expansion" displayName="Tabla_Expansion" ref="A1:F39" totalsRowShown="0" headerRowDxfId="10" headerRowBorderDxfId="9" headerRowCellStyle="Énfasis2">
  <autoFilter ref="A1:F39" xr:uid="{00000000-0009-0000-0100-000003000000}"/>
  <tableColumns count="6">
    <tableColumn id="1" xr3:uid="{00000000-0010-0000-0400-000001000000}" name="Contratista"/>
    <tableColumn id="2" xr3:uid="{00000000-0010-0000-0400-000002000000}" name="Operación"/>
    <tableColumn id="3" xr3:uid="{00000000-0010-0000-0400-000003000000}" name="Rodal"/>
    <tableColumn id="4" xr3:uid="{00000000-0010-0000-0400-000004000000}" name="Fecha" dataDxfId="8"/>
    <tableColumn id="5" xr3:uid="{00000000-0010-0000-0400-000005000000}" name="Volumen" dataCellStyle="Millares"/>
    <tableColumn id="6" xr3:uid="{00000000-0010-0000-0400-000006000000}" name="Costo_x000a_ [$/día]" dataCellStyle="Millares"/>
  </tableColumns>
  <tableStyleInfo name="TableStyleMedium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9EABD-5109-482D-8B45-4E0B24813ABB}" name="Resumen_Simulaciones" displayName="Resumen_Simulaciones" ref="A1:K16" totalsRowShown="0" headerRowDxfId="0">
  <autoFilter ref="A1:K16" xr:uid="{06D2AEA4-52F6-4CE9-85C4-FD8F864CB31A}"/>
  <tableColumns count="11">
    <tableColumn id="1" xr3:uid="{833975DE-F210-4264-BCB1-6440FA4D07D4}" name="Simulación"/>
    <tableColumn id="2" xr3:uid="{A34F6D40-7C74-4BCE-A70A-B1B3ACA0B91A}" name="Contratista"/>
    <tableColumn id="3" xr3:uid="{5AA7F54A-5507-433D-B03D-230BA6C5E6BC}" name="Operación"/>
    <tableColumn id="4" xr3:uid="{F88E3159-E67A-4C9E-8DF4-5B99D9BF4A0D}" name="Rodal"/>
    <tableColumn id="5" xr3:uid="{D46D6FBD-E218-452D-AEB5-4853CD6355E2}" name="Producción [m³/mes]"/>
    <tableColumn id="6" xr3:uid="{64C47933-DC83-40FF-BFA6-5CCC3ABB2D41}" name="Costo bruto [$/m³]"/>
    <tableColumn id="7" xr3:uid="{0593D43B-856B-4764-BFCB-F212D5558DA1}" name="Tarifa antes de impuestos [$/m³]"/>
    <tableColumn id="8" xr3:uid="{80AE69E0-D1C4-4815-837B-74B4959C8A5E}" name="Tarifa con impuestos [$/m³]"/>
    <tableColumn id="9" xr3:uid="{D0C05854-95BE-4F3F-9172-81F4569EB814}" name="Costo Fijo Total [$/m³]"/>
    <tableColumn id="10" xr3:uid="{4C62C4DE-9E6E-438B-907B-F23DC35C9581}" name="Costo Variable Total [$/m³]"/>
    <tableColumn id="11" xr3:uid="{54DDC727-9B8A-49E4-8762-5297B2333665}" name="Margen de Ganancia [$/m³]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00000000-0013-0000-FFFF-FFFF05000000}" sourceName="Fecha">
  <pivotTables>
    <pivotTable tabId="153" name="Tabla Dinamica Volumen"/>
  </pivotTables>
  <state minimalRefreshVersion="6" lastRefreshVersion="6" pivotCacheId="1431239135" filterType="dateBetween">
    <selection startDate="2022-08-01T00:00:00" endDate="2022-08-31T00:00:00"/>
    <bounds startDate="2022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06000000}" sourceName="Fecha">
  <pivotTables>
    <pivotTable tabId="154" name="Tabla Dinamica Costo"/>
  </pivotTables>
  <state minimalRefreshVersion="6" lastRefreshVersion="6" pivotCacheId="1431239135" filterType="unknown"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00000000-0014-0000-FFFF-FFFF03000000}" cache="NativeTimeline_Fecha" caption="Fecha" level="2" selectionLevel="2" scrollPosition="2022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06000000}" cache="NativeTimeline_Fecha1" caption="Fecha" level="2" selectionLevel="2" scrollPosition="2022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_Sitios">
    <tabColor theme="5" tint="0.39997558519241921"/>
  </sheetPr>
  <dimension ref="A1:Q61"/>
  <sheetViews>
    <sheetView zoomScale="85" zoomScaleNormal="85" workbookViewId="0">
      <selection activeCell="C14" sqref="C14"/>
    </sheetView>
  </sheetViews>
  <sheetFormatPr baseColWidth="10" defaultRowHeight="14.4" x14ac:dyDescent="0.3"/>
  <cols>
    <col min="1" max="1" width="31.6640625" customWidth="1"/>
    <col min="2" max="2" width="18.5546875" bestFit="1" customWidth="1"/>
    <col min="3" max="3" width="44.44140625" customWidth="1"/>
    <col min="6" max="6" width="11.44140625" style="53"/>
    <col min="7" max="7" width="12.5546875" style="22" customWidth="1"/>
    <col min="8" max="8" width="30" style="22" bestFit="1" customWidth="1"/>
    <col min="9" max="9" width="10.33203125" bestFit="1" customWidth="1"/>
    <col min="10" max="10" width="17.88671875" bestFit="1" customWidth="1"/>
    <col min="11" max="11" width="10.6640625" bestFit="1" customWidth="1"/>
    <col min="12" max="12" width="11.88671875" customWidth="1"/>
    <col min="13" max="13" width="31.33203125" style="22" bestFit="1" customWidth="1"/>
    <col min="14" max="14" width="25.33203125" bestFit="1" customWidth="1"/>
    <col min="15" max="15" width="36.109375" bestFit="1" customWidth="1"/>
    <col min="16" max="16" width="20.6640625" bestFit="1" customWidth="1"/>
  </cols>
  <sheetData>
    <row r="1" spans="1:17" ht="15.6" x14ac:dyDescent="0.3">
      <c r="A1" t="s">
        <v>0</v>
      </c>
      <c r="B1" t="s">
        <v>156</v>
      </c>
      <c r="C1" s="47" t="s">
        <v>1</v>
      </c>
      <c r="D1" t="s">
        <v>2</v>
      </c>
      <c r="E1" t="s">
        <v>3</v>
      </c>
      <c r="F1" s="53" t="s">
        <v>4</v>
      </c>
      <c r="G1" s="22" t="s">
        <v>5</v>
      </c>
      <c r="H1" s="48" t="s">
        <v>6</v>
      </c>
      <c r="I1" t="s">
        <v>193</v>
      </c>
      <c r="J1" t="s">
        <v>7</v>
      </c>
      <c r="K1" t="s">
        <v>8</v>
      </c>
      <c r="L1" t="s">
        <v>9</v>
      </c>
      <c r="M1" s="22" t="s">
        <v>10</v>
      </c>
      <c r="N1" t="s">
        <v>11</v>
      </c>
      <c r="O1" t="s">
        <v>12</v>
      </c>
      <c r="P1" s="69" t="s">
        <v>246</v>
      </c>
      <c r="Q1" s="69" t="s">
        <v>247</v>
      </c>
    </row>
    <row r="2" spans="1:17" x14ac:dyDescent="0.3">
      <c r="A2" s="49" t="s">
        <v>305</v>
      </c>
      <c r="B2" s="49" t="s">
        <v>354</v>
      </c>
      <c r="C2" t="str">
        <f>Tabla4[[#This Row],[Dcr Fundo]]&amp;"-"&amp;Tabla4[[#This Row],[Código del Sitio]]</f>
        <v>Cambyretá-FACOST00105P10013-013</v>
      </c>
      <c r="D2" s="49">
        <v>27.5</v>
      </c>
      <c r="E2" s="30" t="s">
        <v>13</v>
      </c>
      <c r="F2" s="56">
        <v>666</v>
      </c>
      <c r="G2" s="54">
        <v>0.43774879868740535</v>
      </c>
      <c r="H2" s="22">
        <v>325.19877292338202</v>
      </c>
      <c r="I2" s="56">
        <v>24.361038739657694</v>
      </c>
      <c r="J2" s="56">
        <v>21.261987002049793</v>
      </c>
      <c r="K2" s="58">
        <v>87</v>
      </c>
      <c r="L2">
        <v>0</v>
      </c>
      <c r="M2" s="66">
        <v>5506.3729712060849</v>
      </c>
      <c r="N2">
        <v>450</v>
      </c>
      <c r="O2" s="65">
        <v>1</v>
      </c>
      <c r="P2" t="s">
        <v>225</v>
      </c>
    </row>
    <row r="3" spans="1:17" x14ac:dyDescent="0.3">
      <c r="A3" s="49" t="s">
        <v>224</v>
      </c>
      <c r="B3" s="49" t="s">
        <v>354</v>
      </c>
      <c r="C3" t="str">
        <f>Tabla4[[#This Row],[Dcr Fundo]]&amp;"-"&amp;Tabla4[[#This Row],[Código del Sitio]]</f>
        <v>Cambyretá-FACOST00105P10016-016</v>
      </c>
      <c r="D3" s="49">
        <v>4.2</v>
      </c>
      <c r="E3" s="30" t="s">
        <v>13</v>
      </c>
      <c r="F3" s="56">
        <v>536.66666666666663</v>
      </c>
      <c r="G3" s="54">
        <v>0.39862295732524489</v>
      </c>
      <c r="H3" s="22">
        <v>238.62538066318805</v>
      </c>
      <c r="I3" s="56">
        <v>24.394776119402984</v>
      </c>
      <c r="J3" s="56">
        <v>19.441443709487135</v>
      </c>
      <c r="K3" s="58">
        <v>94</v>
      </c>
      <c r="L3">
        <v>0</v>
      </c>
      <c r="M3" s="51">
        <v>609.09263842270514</v>
      </c>
      <c r="N3">
        <v>450</v>
      </c>
      <c r="O3" s="65">
        <v>1</v>
      </c>
      <c r="P3" t="s">
        <v>225</v>
      </c>
    </row>
    <row r="4" spans="1:17" x14ac:dyDescent="0.3">
      <c r="A4" s="49" t="s">
        <v>306</v>
      </c>
      <c r="B4" s="49" t="s">
        <v>354</v>
      </c>
      <c r="C4" t="str">
        <f>Tabla4[[#This Row],[Dcr Fundo]]&amp;"-"&amp;Tabla4[[#This Row],[Código del Sitio]]</f>
        <v>Cambyretá-FACOST00105P10027-027</v>
      </c>
      <c r="D4" s="49">
        <v>5</v>
      </c>
      <c r="E4" s="30" t="s">
        <v>13</v>
      </c>
      <c r="F4" s="56">
        <v>723.33333333333326</v>
      </c>
      <c r="G4" s="54">
        <v>0.41551875619992307</v>
      </c>
      <c r="H4" s="22">
        <v>335.25774342957169</v>
      </c>
      <c r="I4" s="56">
        <v>23.922891745312629</v>
      </c>
      <c r="J4" s="56">
        <v>21.006271607115867</v>
      </c>
      <c r="K4" s="58">
        <v>115</v>
      </c>
      <c r="L4">
        <v>0</v>
      </c>
      <c r="M4" s="51">
        <v>983.28076472649605</v>
      </c>
      <c r="N4">
        <v>450</v>
      </c>
      <c r="O4" s="65">
        <v>1</v>
      </c>
      <c r="P4" t="s">
        <v>225</v>
      </c>
    </row>
    <row r="5" spans="1:17" x14ac:dyDescent="0.3">
      <c r="A5" s="49" t="s">
        <v>307</v>
      </c>
      <c r="B5" s="49" t="s">
        <v>194</v>
      </c>
      <c r="C5" t="str">
        <f>Tabla4[[#This Row],[Dcr Fundo]]&amp;"-"&amp;Tabla4[[#This Row],[Código del Sitio]]</f>
        <v>Pariopá-FACOST00101P08181-181</v>
      </c>
      <c r="D5" s="49">
        <v>27.17</v>
      </c>
      <c r="E5" s="30" t="s">
        <v>13</v>
      </c>
      <c r="F5" s="56">
        <v>190</v>
      </c>
      <c r="G5" s="54">
        <v>0.39525469195858187</v>
      </c>
      <c r="H5" s="22">
        <v>83.768423281796501</v>
      </c>
      <c r="I5" s="56">
        <v>24.292592592592591</v>
      </c>
      <c r="J5" s="56">
        <v>18.777547276433946</v>
      </c>
      <c r="K5" s="58">
        <v>100</v>
      </c>
      <c r="L5">
        <v>0</v>
      </c>
      <c r="M5" s="51">
        <v>1741.9294543604133</v>
      </c>
      <c r="N5">
        <v>450</v>
      </c>
      <c r="O5" s="65">
        <v>1</v>
      </c>
      <c r="P5" t="s">
        <v>234</v>
      </c>
    </row>
    <row r="6" spans="1:17" x14ac:dyDescent="0.3">
      <c r="A6" s="49" t="s">
        <v>308</v>
      </c>
      <c r="B6" s="49" t="s">
        <v>230</v>
      </c>
      <c r="C6" t="str">
        <f>Tabla4[[#This Row],[Dcr Fundo]]&amp;"-"&amp;Tabla4[[#This Row],[Código del Sitio]]</f>
        <v>Las Palmas-FACOST00136P01012-012</v>
      </c>
      <c r="D6" s="49">
        <v>5</v>
      </c>
      <c r="E6" s="30" t="s">
        <v>13</v>
      </c>
      <c r="F6" s="56">
        <v>540</v>
      </c>
      <c r="G6" s="54">
        <v>1.2856052042885417</v>
      </c>
      <c r="H6" s="22">
        <v>774.37457927028743</v>
      </c>
      <c r="I6" s="56">
        <v>35.774074074074072</v>
      </c>
      <c r="J6" s="56">
        <v>27.844012666030402</v>
      </c>
      <c r="K6" s="58">
        <v>85</v>
      </c>
      <c r="L6">
        <v>0</v>
      </c>
      <c r="M6" s="51">
        <v>3075.7325463324969</v>
      </c>
      <c r="N6">
        <v>450</v>
      </c>
      <c r="O6" s="65">
        <v>1</v>
      </c>
      <c r="P6" t="s">
        <v>356</v>
      </c>
    </row>
    <row r="7" spans="1:17" x14ac:dyDescent="0.3">
      <c r="A7" s="49" t="s">
        <v>309</v>
      </c>
      <c r="B7" s="49" t="s">
        <v>238</v>
      </c>
      <c r="C7" t="str">
        <f>Tabla4[[#This Row],[Dcr Fundo]]&amp;"-"&amp;Tabla4[[#This Row],[Código del Sitio]]</f>
        <v>Rios Cué-FACOST00137P03065-065</v>
      </c>
      <c r="D7" s="49">
        <v>13</v>
      </c>
      <c r="E7" s="30" t="s">
        <v>13</v>
      </c>
      <c r="F7" s="56">
        <v>330</v>
      </c>
      <c r="G7" s="54">
        <v>1.2717272387708216</v>
      </c>
      <c r="H7" s="22">
        <v>468.12045598925948</v>
      </c>
      <c r="I7" s="56">
        <v>36.788660103337513</v>
      </c>
      <c r="J7" s="56">
        <v>26.819310427724691</v>
      </c>
      <c r="K7" s="58">
        <v>95</v>
      </c>
      <c r="L7">
        <v>0</v>
      </c>
      <c r="M7" s="51">
        <v>5455.7098543268239</v>
      </c>
      <c r="N7">
        <v>450</v>
      </c>
      <c r="O7" s="65">
        <v>1</v>
      </c>
      <c r="P7" t="s">
        <v>242</v>
      </c>
    </row>
    <row r="8" spans="1:17" x14ac:dyDescent="0.3">
      <c r="A8" s="49" t="s">
        <v>310</v>
      </c>
      <c r="B8" s="49" t="s">
        <v>194</v>
      </c>
      <c r="C8" t="str">
        <f>Tabla4[[#This Row],[Dcr Fundo]]&amp;"-"&amp;Tabla4[[#This Row],[Código del Sitio]]</f>
        <v>Pariopá-FACOST00101P10373-373</v>
      </c>
      <c r="D8" s="49">
        <v>21</v>
      </c>
      <c r="E8" s="30" t="s">
        <v>13</v>
      </c>
      <c r="F8" s="56">
        <v>703.33333333333348</v>
      </c>
      <c r="G8" s="54">
        <v>0.14183645589667065</v>
      </c>
      <c r="H8" s="22">
        <v>111.27530096373869</v>
      </c>
      <c r="I8" s="56">
        <v>19.367357222844348</v>
      </c>
      <c r="J8" s="56">
        <v>15.981756674682048</v>
      </c>
      <c r="K8" s="58">
        <v>140</v>
      </c>
      <c r="L8">
        <v>0</v>
      </c>
      <c r="M8" s="51">
        <v>1363.8187947121855</v>
      </c>
      <c r="N8">
        <v>450</v>
      </c>
      <c r="O8" s="65">
        <v>1</v>
      </c>
      <c r="P8" t="s">
        <v>234</v>
      </c>
    </row>
    <row r="9" spans="1:17" x14ac:dyDescent="0.3">
      <c r="A9" s="49" t="s">
        <v>311</v>
      </c>
      <c r="B9" s="49" t="s">
        <v>194</v>
      </c>
      <c r="C9" t="str">
        <f>Tabla4[[#This Row],[Dcr Fundo]]&amp;"-"&amp;Tabla4[[#This Row],[Código del Sitio]]</f>
        <v>Pariopá-FACOST00101P10376-376</v>
      </c>
      <c r="D9" s="49">
        <v>0.55000000000000004</v>
      </c>
      <c r="E9" s="30" t="s">
        <v>13</v>
      </c>
      <c r="F9" s="56">
        <v>703.33333333333348</v>
      </c>
      <c r="G9" s="54">
        <v>0.14183645589667065</v>
      </c>
      <c r="H9" s="22">
        <v>111.27530096373869</v>
      </c>
      <c r="I9" s="56">
        <v>19.367357222844348</v>
      </c>
      <c r="J9" s="56">
        <v>15.981756674682048</v>
      </c>
      <c r="K9" s="58">
        <v>15</v>
      </c>
      <c r="L9">
        <v>0</v>
      </c>
      <c r="M9" s="51">
        <v>35.719063671033439</v>
      </c>
      <c r="N9">
        <v>450</v>
      </c>
      <c r="O9" s="46">
        <v>1</v>
      </c>
      <c r="P9" t="s">
        <v>234</v>
      </c>
    </row>
    <row r="10" spans="1:17" x14ac:dyDescent="0.3">
      <c r="A10" s="49" t="s">
        <v>312</v>
      </c>
      <c r="B10" s="49" t="s">
        <v>194</v>
      </c>
      <c r="C10" t="str">
        <f>Tabla4[[#This Row],[Dcr Fundo]]&amp;"-"&amp;Tabla4[[#This Row],[Código del Sitio]]</f>
        <v>Pariopá-FACOST00101P08179-179</v>
      </c>
      <c r="D10" s="49">
        <v>4.8600000000000003</v>
      </c>
      <c r="E10" s="30" t="s">
        <v>13</v>
      </c>
      <c r="F10" s="56">
        <v>476.79259118296341</v>
      </c>
      <c r="G10" s="54">
        <v>0.20543849914095982</v>
      </c>
      <c r="H10" s="22">
        <v>109.25996021657249</v>
      </c>
      <c r="I10" s="56">
        <v>23.326929536484894</v>
      </c>
      <c r="J10" s="56">
        <v>18.480935927352114</v>
      </c>
      <c r="K10" s="58">
        <v>60</v>
      </c>
      <c r="L10">
        <v>0</v>
      </c>
      <c r="M10" s="51">
        <v>376.71964231106085</v>
      </c>
      <c r="N10">
        <v>450</v>
      </c>
      <c r="O10" s="46">
        <v>1</v>
      </c>
      <c r="P10" t="s">
        <v>234</v>
      </c>
    </row>
    <row r="11" spans="1:17" x14ac:dyDescent="0.3">
      <c r="A11" s="49" t="s">
        <v>235</v>
      </c>
      <c r="B11" s="49" t="s">
        <v>194</v>
      </c>
      <c r="C11" t="str">
        <f>Tabla4[[#This Row],[Dcr Fundo]]&amp;"-"&amp;Tabla4[[#This Row],[Código del Sitio]]</f>
        <v>Pariopá-FACOST00101P07232-232</v>
      </c>
      <c r="D11" s="49">
        <v>9</v>
      </c>
      <c r="E11" s="30" t="s">
        <v>13</v>
      </c>
      <c r="F11" s="56">
        <v>228.77156647974061</v>
      </c>
      <c r="G11" s="54">
        <v>0.37809295683584698</v>
      </c>
      <c r="H11" s="22">
        <v>97.060212791770169</v>
      </c>
      <c r="I11" s="56">
        <v>24.482463710126968</v>
      </c>
      <c r="J11" s="56">
        <v>18.237072927446103</v>
      </c>
      <c r="K11" s="58">
        <v>120</v>
      </c>
      <c r="L11">
        <v>0</v>
      </c>
      <c r="M11" s="51">
        <v>634.78419258594488</v>
      </c>
      <c r="N11">
        <v>450</v>
      </c>
      <c r="O11" s="46">
        <v>1</v>
      </c>
      <c r="P11" t="s">
        <v>234</v>
      </c>
    </row>
    <row r="12" spans="1:17" x14ac:dyDescent="0.3">
      <c r="A12" s="49" t="s">
        <v>236</v>
      </c>
      <c r="B12" s="49" t="s">
        <v>194</v>
      </c>
      <c r="C12" t="str">
        <f>Tabla4[[#This Row],[Dcr Fundo]]&amp;"-"&amp;Tabla4[[#This Row],[Código del Sitio]]</f>
        <v>Pariopá-FACOST00101P07351-351</v>
      </c>
      <c r="D12" s="49">
        <v>0.53</v>
      </c>
      <c r="E12" s="30" t="s">
        <v>13</v>
      </c>
      <c r="F12" s="56">
        <v>228.77156647974061</v>
      </c>
      <c r="G12" s="54">
        <v>0.37809295683584698</v>
      </c>
      <c r="H12" s="22">
        <v>97.060212791770169</v>
      </c>
      <c r="I12" s="56">
        <v>24.482463710126968</v>
      </c>
      <c r="J12" s="56">
        <v>18.237072927446103</v>
      </c>
      <c r="K12" s="58">
        <v>32</v>
      </c>
      <c r="L12">
        <v>0</v>
      </c>
      <c r="M12" s="51">
        <v>37.381735785616755</v>
      </c>
      <c r="N12">
        <v>450</v>
      </c>
      <c r="O12" s="46">
        <v>1</v>
      </c>
      <c r="P12" t="s">
        <v>234</v>
      </c>
    </row>
    <row r="13" spans="1:17" x14ac:dyDescent="0.3">
      <c r="A13" s="49" t="s">
        <v>313</v>
      </c>
      <c r="B13" s="49" t="s">
        <v>230</v>
      </c>
      <c r="C13" t="str">
        <f>Tabla4[[#This Row],[Dcr Fundo]]&amp;"-"&amp;Tabla4[[#This Row],[Código del Sitio]]</f>
        <v>Las Palmas-FACOST00136P01018-018</v>
      </c>
      <c r="D13" s="49">
        <v>5.9</v>
      </c>
      <c r="E13" s="30" t="s">
        <v>13</v>
      </c>
      <c r="F13" s="56">
        <v>509.99999999999994</v>
      </c>
      <c r="G13" s="54">
        <v>1.1335432642467818</v>
      </c>
      <c r="H13" s="22">
        <v>644.84892890781771</v>
      </c>
      <c r="I13" s="56">
        <v>34.607843137254903</v>
      </c>
      <c r="J13" s="56">
        <v>25.367843546837648</v>
      </c>
      <c r="K13" s="58">
        <v>140</v>
      </c>
      <c r="L13">
        <v>0</v>
      </c>
      <c r="M13" s="51">
        <v>2858.7595188130663</v>
      </c>
      <c r="N13">
        <v>450</v>
      </c>
      <c r="O13" s="46">
        <v>1</v>
      </c>
      <c r="P13" t="s">
        <v>356</v>
      </c>
    </row>
    <row r="14" spans="1:17" x14ac:dyDescent="0.3">
      <c r="A14" s="49" t="s">
        <v>231</v>
      </c>
      <c r="B14" s="49" t="s">
        <v>230</v>
      </c>
      <c r="C14" t="str">
        <f>Tabla4[[#This Row],[Dcr Fundo]]&amp;"-"&amp;Tabla4[[#This Row],[Código del Sitio]]</f>
        <v>Las Palmas-FACOST00136P01025-025</v>
      </c>
      <c r="D14" s="49">
        <v>1.2</v>
      </c>
      <c r="E14" s="30" t="s">
        <v>13</v>
      </c>
      <c r="F14" s="56">
        <v>700</v>
      </c>
      <c r="G14" s="54">
        <v>0.65034671428571422</v>
      </c>
      <c r="H14" s="22">
        <v>507.79999999999995</v>
      </c>
      <c r="I14" s="56">
        <v>32.459259259259255</v>
      </c>
      <c r="J14" s="56">
        <v>25.561795738323465</v>
      </c>
      <c r="K14" s="58">
        <v>50</v>
      </c>
      <c r="L14">
        <v>0</v>
      </c>
      <c r="M14" s="51">
        <v>415.09742999999997</v>
      </c>
      <c r="N14">
        <v>450</v>
      </c>
      <c r="O14" s="46">
        <v>1</v>
      </c>
      <c r="P14" t="s">
        <v>356</v>
      </c>
    </row>
    <row r="15" spans="1:17" x14ac:dyDescent="0.3">
      <c r="A15" s="49" t="s">
        <v>232</v>
      </c>
      <c r="B15" s="49" t="s">
        <v>230</v>
      </c>
      <c r="C15" t="str">
        <f>Tabla4[[#This Row],[Dcr Fundo]]&amp;"-"&amp;Tabla4[[#This Row],[Código del Sitio]]</f>
        <v>Las Palmas-FACOST00136P01026-026</v>
      </c>
      <c r="D15" s="49">
        <v>7.8</v>
      </c>
      <c r="E15" s="30" t="s">
        <v>13</v>
      </c>
      <c r="F15" s="56">
        <v>700</v>
      </c>
      <c r="G15" s="54">
        <v>0.65034671428571422</v>
      </c>
      <c r="H15" s="22">
        <v>507.79999999999995</v>
      </c>
      <c r="I15" s="56">
        <v>32.459259259259255</v>
      </c>
      <c r="J15" s="56">
        <v>25.561795738323465</v>
      </c>
      <c r="K15" s="58">
        <v>95</v>
      </c>
      <c r="L15">
        <v>0</v>
      </c>
      <c r="M15" s="51">
        <v>2698.1332950000001</v>
      </c>
      <c r="N15">
        <v>450</v>
      </c>
      <c r="O15" s="46">
        <v>1</v>
      </c>
      <c r="P15" t="s">
        <v>356</v>
      </c>
    </row>
    <row r="16" spans="1:17" x14ac:dyDescent="0.3">
      <c r="A16" s="49" t="s">
        <v>314</v>
      </c>
      <c r="B16" s="49" t="s">
        <v>238</v>
      </c>
      <c r="C16" t="str">
        <f>Tabla4[[#This Row],[Dcr Fundo]]&amp;"-"&amp;Tabla4[[#This Row],[Código del Sitio]]</f>
        <v>Rios Cué-FACOST00137P03066-066</v>
      </c>
      <c r="D16" s="49">
        <v>2</v>
      </c>
      <c r="E16" s="30" t="s">
        <v>13</v>
      </c>
      <c r="F16" s="56">
        <v>320</v>
      </c>
      <c r="G16" s="54">
        <v>1.0420330592918101</v>
      </c>
      <c r="H16" s="22">
        <v>371.94710426478446</v>
      </c>
      <c r="I16" s="56">
        <v>34.282454897293597</v>
      </c>
      <c r="J16" s="56">
        <v>25.164887771315904</v>
      </c>
      <c r="K16" s="58">
        <v>60</v>
      </c>
      <c r="L16">
        <v>0</v>
      </c>
      <c r="M16" s="51">
        <v>666.9011579467583</v>
      </c>
      <c r="N16">
        <v>450</v>
      </c>
      <c r="O16" s="46">
        <v>1</v>
      </c>
      <c r="P16" t="s">
        <v>242</v>
      </c>
    </row>
    <row r="17" spans="1:16" x14ac:dyDescent="0.3">
      <c r="A17" s="49" t="s">
        <v>237</v>
      </c>
      <c r="B17" s="49" t="s">
        <v>194</v>
      </c>
      <c r="C17" t="str">
        <f>Tabla4[[#This Row],[Dcr Fundo]]&amp;"-"&amp;Tabla4[[#This Row],[Código del Sitio]]</f>
        <v>Pariopá-FACOST00101P10370-370</v>
      </c>
      <c r="D17" s="49">
        <v>18</v>
      </c>
      <c r="E17" s="30" t="s">
        <v>13</v>
      </c>
      <c r="F17" s="56">
        <v>703.33333333333348</v>
      </c>
      <c r="G17" s="54">
        <v>0.14183645589667065</v>
      </c>
      <c r="H17" s="22">
        <v>111.27530096373869</v>
      </c>
      <c r="I17" s="56">
        <v>19.367357222844348</v>
      </c>
      <c r="J17" s="56">
        <v>15.981756674682048</v>
      </c>
      <c r="K17" s="58">
        <v>110</v>
      </c>
      <c r="L17">
        <v>0</v>
      </c>
      <c r="M17" s="51">
        <v>1168.9875383247304</v>
      </c>
      <c r="N17">
        <v>450</v>
      </c>
      <c r="O17" s="46">
        <v>1</v>
      </c>
      <c r="P17" t="s">
        <v>234</v>
      </c>
    </row>
    <row r="18" spans="1:16" x14ac:dyDescent="0.3">
      <c r="A18" s="49" t="s">
        <v>315</v>
      </c>
      <c r="B18" s="49" t="s">
        <v>238</v>
      </c>
      <c r="C18" t="str">
        <f>Tabla4[[#This Row],[Dcr Fundo]]&amp;"-"&amp;Tabla4[[#This Row],[Código del Sitio]]</f>
        <v>Rios Cué-FACOST00137P03067-067</v>
      </c>
      <c r="D18" s="49">
        <v>10</v>
      </c>
      <c r="E18" s="30" t="s">
        <v>13</v>
      </c>
      <c r="F18" s="56">
        <v>557.5</v>
      </c>
      <c r="G18" s="54">
        <v>0.82066843203260131</v>
      </c>
      <c r="H18" s="22">
        <v>510.34316883232037</v>
      </c>
      <c r="I18" s="56">
        <v>29.97071100369973</v>
      </c>
      <c r="J18" s="56">
        <v>25.727360953133125</v>
      </c>
      <c r="K18" s="58">
        <v>43</v>
      </c>
      <c r="L18">
        <v>0</v>
      </c>
      <c r="M18" s="51">
        <v>4575.2265085817517</v>
      </c>
      <c r="N18">
        <v>450</v>
      </c>
      <c r="O18" s="46">
        <v>1</v>
      </c>
      <c r="P18" t="s">
        <v>242</v>
      </c>
    </row>
    <row r="19" spans="1:16" x14ac:dyDescent="0.3">
      <c r="A19" s="49" t="s">
        <v>316</v>
      </c>
      <c r="B19" s="49" t="s">
        <v>238</v>
      </c>
      <c r="C19" t="str">
        <f>Tabla4[[#This Row],[Dcr Fundo]]&amp;"-"&amp;Tabla4[[#This Row],[Código del Sitio]]</f>
        <v>Rios Cué-FACOST00137P03068-068</v>
      </c>
      <c r="D19" s="49">
        <v>1</v>
      </c>
      <c r="E19" s="30" t="s">
        <v>13</v>
      </c>
      <c r="F19" s="56">
        <v>550</v>
      </c>
      <c r="G19" s="54">
        <v>0.72746768321011912</v>
      </c>
      <c r="H19" s="22">
        <v>446.29919215344734</v>
      </c>
      <c r="I19" s="56">
        <v>29.458027143330021</v>
      </c>
      <c r="J19" s="56">
        <v>23.222417978748915</v>
      </c>
      <c r="K19" s="58">
        <v>40</v>
      </c>
      <c r="L19">
        <v>0</v>
      </c>
      <c r="M19" s="51">
        <v>400.10722576556549</v>
      </c>
      <c r="N19">
        <v>450</v>
      </c>
      <c r="O19" s="46">
        <v>1</v>
      </c>
      <c r="P19" t="s">
        <v>242</v>
      </c>
    </row>
    <row r="20" spans="1:16" x14ac:dyDescent="0.3">
      <c r="A20" s="49" t="s">
        <v>317</v>
      </c>
      <c r="B20" s="49" t="s">
        <v>360</v>
      </c>
      <c r="C20" t="str">
        <f>Tabla4[[#This Row],[Dcr Fundo]]&amp;"-"&amp;Tabla4[[#This Row],[Código del Sitio]]</f>
        <v>Don Paulino - San Miguel-FACOST00113P98015-015</v>
      </c>
      <c r="D20" s="49">
        <v>15.7</v>
      </c>
      <c r="E20" s="30" t="s">
        <v>13</v>
      </c>
      <c r="F20" s="56">
        <v>360</v>
      </c>
      <c r="G20" s="54">
        <v>1.4503250878653695</v>
      </c>
      <c r="H20" s="22">
        <v>582.39490421810706</v>
      </c>
      <c r="I20" s="56">
        <v>38.54999999999999</v>
      </c>
      <c r="J20" s="56">
        <v>27.791886388236954</v>
      </c>
      <c r="K20" s="58">
        <v>130</v>
      </c>
      <c r="L20">
        <v>0</v>
      </c>
      <c r="M20" s="51">
        <v>4918.3424379690387</v>
      </c>
      <c r="N20">
        <v>450</v>
      </c>
      <c r="O20" s="46">
        <v>1</v>
      </c>
      <c r="P20" t="s">
        <v>239</v>
      </c>
    </row>
    <row r="21" spans="1:16" x14ac:dyDescent="0.3">
      <c r="A21" s="49" t="s">
        <v>318</v>
      </c>
      <c r="B21" s="49" t="s">
        <v>240</v>
      </c>
      <c r="C21" t="str">
        <f>Tabla4[[#This Row],[Dcr Fundo]]&amp;"-"&amp;Tabla4[[#This Row],[Código del Sitio]]</f>
        <v>San Benito-FACOST00128P00007-007</v>
      </c>
      <c r="D21" s="49">
        <v>4.78</v>
      </c>
      <c r="E21" s="30" t="s">
        <v>13</v>
      </c>
      <c r="F21" s="56">
        <v>480</v>
      </c>
      <c r="G21" s="54">
        <v>0.85332493861650272</v>
      </c>
      <c r="H21" s="22">
        <v>456.88340271714594</v>
      </c>
      <c r="I21" s="56">
        <v>31.141666666666676</v>
      </c>
      <c r="J21" s="56">
        <v>24.989930187248106</v>
      </c>
      <c r="K21" s="58">
        <v>33</v>
      </c>
      <c r="L21">
        <v>0</v>
      </c>
      <c r="M21" s="51">
        <v>1600.3023257144594</v>
      </c>
      <c r="N21">
        <v>610</v>
      </c>
      <c r="O21" s="46">
        <v>1</v>
      </c>
      <c r="P21" t="s">
        <v>357</v>
      </c>
    </row>
    <row r="22" spans="1:16" x14ac:dyDescent="0.3">
      <c r="A22" s="49" t="s">
        <v>233</v>
      </c>
      <c r="B22" s="61" t="s">
        <v>230</v>
      </c>
      <c r="C22" t="str">
        <f>Tabla4[[#This Row],[Dcr Fundo]]&amp;"-"&amp;Tabla4[[#This Row],[Código del Sitio]]</f>
        <v>Las Palmas-FACOST00136P01035-035</v>
      </c>
      <c r="D22" s="61">
        <v>1</v>
      </c>
      <c r="E22" s="30" t="s">
        <v>13</v>
      </c>
      <c r="F22" s="62">
        <v>700</v>
      </c>
      <c r="G22" s="63">
        <v>0.65034671428571422</v>
      </c>
      <c r="H22" s="64">
        <v>507.79999999999995</v>
      </c>
      <c r="I22" s="56">
        <v>32.459259259259255</v>
      </c>
      <c r="J22" s="56">
        <v>25.561795738323465</v>
      </c>
      <c r="K22" s="58">
        <v>150</v>
      </c>
      <c r="L22">
        <v>0</v>
      </c>
      <c r="M22" s="51">
        <v>345.91452499999997</v>
      </c>
      <c r="N22">
        <v>610</v>
      </c>
      <c r="O22" s="65">
        <v>1</v>
      </c>
      <c r="P22" t="s">
        <v>356</v>
      </c>
    </row>
    <row r="23" spans="1:16" x14ac:dyDescent="0.3">
      <c r="A23" s="49" t="s">
        <v>319</v>
      </c>
      <c r="B23" s="61" t="s">
        <v>240</v>
      </c>
      <c r="C23" t="str">
        <f>Tabla4[[#This Row],[Dcr Fundo]]&amp;"-"&amp;Tabla4[[#This Row],[Código del Sitio]]</f>
        <v>San Benito-FACOST00128P00012-012</v>
      </c>
      <c r="D23" s="61">
        <v>2.5</v>
      </c>
      <c r="E23" s="30" t="s">
        <v>13</v>
      </c>
      <c r="F23" s="62">
        <v>360</v>
      </c>
      <c r="G23" s="63">
        <v>1.4854282474336347</v>
      </c>
      <c r="H23" s="64">
        <v>596.49098614178308</v>
      </c>
      <c r="I23" s="56">
        <v>45.823076923076925</v>
      </c>
      <c r="J23" s="56">
        <v>27.80151850131525</v>
      </c>
      <c r="K23" s="58">
        <v>140</v>
      </c>
      <c r="L23">
        <v>0</v>
      </c>
      <c r="M23" s="51">
        <v>1269.4416874920487</v>
      </c>
      <c r="N23">
        <v>450</v>
      </c>
      <c r="O23" s="65">
        <v>1</v>
      </c>
      <c r="P23" t="s">
        <v>357</v>
      </c>
    </row>
    <row r="24" spans="1:16" x14ac:dyDescent="0.3">
      <c r="A24" s="49" t="s">
        <v>320</v>
      </c>
      <c r="B24" s="49" t="s">
        <v>240</v>
      </c>
      <c r="C24" t="str">
        <f>Tabla4[[#This Row],[Dcr Fundo]]&amp;"-"&amp;Tabla4[[#This Row],[Código del Sitio]]</f>
        <v>San Benito-FACOST00128P00017-017</v>
      </c>
      <c r="D24" s="49">
        <v>6.47</v>
      </c>
      <c r="E24" s="30" t="s">
        <v>13</v>
      </c>
      <c r="F24" s="56">
        <v>540</v>
      </c>
      <c r="G24" s="54">
        <v>0.75920268518518519</v>
      </c>
      <c r="H24" s="22">
        <v>457.3</v>
      </c>
      <c r="I24" s="56">
        <v>30.581481481481482</v>
      </c>
      <c r="J24" s="56">
        <v>27.000294406664548</v>
      </c>
      <c r="K24" s="58">
        <v>146</v>
      </c>
      <c r="L24">
        <v>0</v>
      </c>
      <c r="M24" s="51">
        <v>2336.09297625</v>
      </c>
      <c r="N24">
        <v>450</v>
      </c>
      <c r="O24" s="46">
        <v>1</v>
      </c>
      <c r="P24" t="s">
        <v>357</v>
      </c>
    </row>
    <row r="25" spans="1:16" x14ac:dyDescent="0.3">
      <c r="A25" s="49" t="s">
        <v>321</v>
      </c>
      <c r="B25" s="49" t="s">
        <v>240</v>
      </c>
      <c r="C25" t="str">
        <f>Tabla4[[#This Row],[Dcr Fundo]]&amp;"-"&amp;Tabla4[[#This Row],[Código del Sitio]]</f>
        <v>San Benito-FACOST00128P00018-018</v>
      </c>
      <c r="D25" s="49">
        <v>1.2</v>
      </c>
      <c r="E25" s="30" t="s">
        <v>13</v>
      </c>
      <c r="F25" s="56">
        <v>540</v>
      </c>
      <c r="G25" s="54">
        <v>0.76766962962962959</v>
      </c>
      <c r="H25" s="22">
        <v>462.4</v>
      </c>
      <c r="I25" s="56">
        <v>30.581481481481482</v>
      </c>
      <c r="J25" s="56">
        <v>27.000294406664548</v>
      </c>
      <c r="K25" s="58">
        <v>146</v>
      </c>
      <c r="L25">
        <v>0</v>
      </c>
      <c r="M25" s="51">
        <v>497.44991999999996</v>
      </c>
      <c r="N25">
        <v>450</v>
      </c>
      <c r="O25" s="46">
        <v>1</v>
      </c>
      <c r="P25" t="s">
        <v>357</v>
      </c>
    </row>
    <row r="26" spans="1:16" x14ac:dyDescent="0.3">
      <c r="A26" s="49" t="s">
        <v>322</v>
      </c>
      <c r="B26" s="49" t="s">
        <v>241</v>
      </c>
      <c r="C26" t="str">
        <f>Tabla4[[#This Row],[Dcr Fundo]]&amp;"-"&amp;Tabla4[[#This Row],[Código del Sitio]]</f>
        <v>San Miguel-FACOST00120P99040-040</v>
      </c>
      <c r="D26" s="49">
        <v>19.600000000000001</v>
      </c>
      <c r="E26" s="30" t="s">
        <v>13</v>
      </c>
      <c r="F26" s="56">
        <v>290</v>
      </c>
      <c r="G26" s="54">
        <v>1.422291536031115</v>
      </c>
      <c r="H26" s="22">
        <v>460.08315164419787</v>
      </c>
      <c r="I26" s="56">
        <v>38.818872549019609</v>
      </c>
      <c r="J26" s="56">
        <v>27.050256725324836</v>
      </c>
      <c r="K26" s="58">
        <v>125</v>
      </c>
      <c r="L26">
        <v>0</v>
      </c>
      <c r="M26" s="51">
        <v>7364.1899852408133</v>
      </c>
      <c r="N26">
        <v>450</v>
      </c>
      <c r="O26" s="46">
        <v>1</v>
      </c>
      <c r="P26" t="s">
        <v>358</v>
      </c>
    </row>
    <row r="27" spans="1:16" x14ac:dyDescent="0.3">
      <c r="A27" s="49" t="s">
        <v>323</v>
      </c>
      <c r="B27" s="49" t="s">
        <v>238</v>
      </c>
      <c r="C27" t="str">
        <f>Tabla4[[#This Row],[Dcr Fundo]]&amp;"-"&amp;Tabla4[[#This Row],[Código del Sitio]]</f>
        <v>Rios Cué-FACOST00137P03069-069</v>
      </c>
      <c r="D27" s="49">
        <v>5.5</v>
      </c>
      <c r="E27" s="30" t="s">
        <v>13</v>
      </c>
      <c r="F27" s="56">
        <v>336.66666666666669</v>
      </c>
      <c r="G27" s="54">
        <v>0.9230759544878816</v>
      </c>
      <c r="H27" s="22">
        <v>346.64685407427419</v>
      </c>
      <c r="I27" s="56">
        <v>33.459200440941935</v>
      </c>
      <c r="J27" s="56">
        <v>23.546729531927863</v>
      </c>
      <c r="K27" s="58">
        <v>116</v>
      </c>
      <c r="L27">
        <v>0</v>
      </c>
      <c r="M27" s="51">
        <v>1709.2289757267272</v>
      </c>
      <c r="N27">
        <v>450</v>
      </c>
      <c r="O27" s="46">
        <v>1</v>
      </c>
      <c r="P27" t="s">
        <v>242</v>
      </c>
    </row>
    <row r="28" spans="1:16" x14ac:dyDescent="0.3">
      <c r="A28" s="49" t="s">
        <v>324</v>
      </c>
      <c r="B28" s="49" t="s">
        <v>241</v>
      </c>
      <c r="C28" t="str">
        <f>Tabla4[[#This Row],[Dcr Fundo]]&amp;"-"&amp;Tabla4[[#This Row],[Código del Sitio]]</f>
        <v>San Miguel-FACOST00120P99060-060</v>
      </c>
      <c r="D28" s="49">
        <v>2</v>
      </c>
      <c r="E28" s="30" t="s">
        <v>13</v>
      </c>
      <c r="F28" s="56">
        <v>360</v>
      </c>
      <c r="G28" s="54">
        <v>1.3042593612684368</v>
      </c>
      <c r="H28" s="22">
        <v>523.74051316970133</v>
      </c>
      <c r="I28" s="56">
        <v>35.888888888888886</v>
      </c>
      <c r="J28" s="56">
        <v>28.30360347348978</v>
      </c>
      <c r="K28" s="58">
        <v>32</v>
      </c>
      <c r="L28">
        <v>0</v>
      </c>
      <c r="M28" s="51">
        <v>833.92766163668523</v>
      </c>
      <c r="N28">
        <v>450</v>
      </c>
      <c r="O28" s="46">
        <v>1</v>
      </c>
      <c r="P28" t="s">
        <v>358</v>
      </c>
    </row>
    <row r="29" spans="1:16" x14ac:dyDescent="0.3">
      <c r="A29" s="49" t="s">
        <v>325</v>
      </c>
      <c r="B29" s="49" t="s">
        <v>360</v>
      </c>
      <c r="C29" t="str">
        <f>Tabla4[[#This Row],[Dcr Fundo]]&amp;"-"&amp;Tabla4[[#This Row],[Código del Sitio]]</f>
        <v>Don Paulino - San Miguel-FACOST00120P99061-061</v>
      </c>
      <c r="D29" s="49">
        <v>2</v>
      </c>
      <c r="E29" s="30" t="s">
        <v>13</v>
      </c>
      <c r="F29" s="56">
        <v>360</v>
      </c>
      <c r="G29" s="54">
        <v>1.3042593612684368</v>
      </c>
      <c r="H29" s="22">
        <v>523.74051316970133</v>
      </c>
      <c r="I29" s="56">
        <v>35.888888888888886</v>
      </c>
      <c r="J29" s="56">
        <v>28.30360347348978</v>
      </c>
      <c r="K29" s="58">
        <v>96</v>
      </c>
      <c r="L29">
        <v>0</v>
      </c>
      <c r="M29" s="51">
        <v>798.2067290962832</v>
      </c>
      <c r="N29">
        <v>450</v>
      </c>
      <c r="O29" s="46">
        <v>1</v>
      </c>
      <c r="P29" t="s">
        <v>239</v>
      </c>
    </row>
    <row r="30" spans="1:16" x14ac:dyDescent="0.3">
      <c r="A30" s="49" t="s">
        <v>326</v>
      </c>
      <c r="B30" s="49" t="s">
        <v>194</v>
      </c>
      <c r="C30" t="str">
        <f>Tabla4[[#This Row],[Dcr Fundo]]&amp;"-"&amp;Tabla4[[#This Row],[Código del Sitio]]</f>
        <v>Pariopá-FACOST00101P08115-115</v>
      </c>
      <c r="D30" s="49">
        <v>3.89</v>
      </c>
      <c r="E30" s="30" t="s">
        <v>13</v>
      </c>
      <c r="F30" s="56">
        <v>549.94668518463254</v>
      </c>
      <c r="G30" s="54">
        <v>0.39325355312181925</v>
      </c>
      <c r="H30" s="22">
        <v>241.23646176957425</v>
      </c>
      <c r="I30" s="56">
        <v>25.026628119293978</v>
      </c>
      <c r="J30" s="56">
        <v>18.894293942304106</v>
      </c>
      <c r="K30" s="58">
        <v>100</v>
      </c>
      <c r="L30">
        <v>0</v>
      </c>
      <c r="M30" s="51">
        <v>694.68226184772573</v>
      </c>
      <c r="N30">
        <v>450</v>
      </c>
      <c r="O30" s="46">
        <v>1</v>
      </c>
      <c r="P30" t="s">
        <v>234</v>
      </c>
    </row>
    <row r="31" spans="1:16" x14ac:dyDescent="0.3">
      <c r="A31" s="49" t="s">
        <v>327</v>
      </c>
      <c r="B31" s="49" t="s">
        <v>158</v>
      </c>
      <c r="C31" t="str">
        <f>Tabla4[[#This Row],[Dcr Fundo]]&amp;"-"&amp;Tabla4[[#This Row],[Código del Sitio]]</f>
        <v>Don Hilario-FACOST00129P02538-538</v>
      </c>
      <c r="D31" s="49">
        <v>1.78</v>
      </c>
      <c r="E31" s="30" t="s">
        <v>13</v>
      </c>
      <c r="F31" s="56">
        <v>790</v>
      </c>
      <c r="G31" s="54">
        <v>0.4939876986518571</v>
      </c>
      <c r="H31" s="22">
        <v>435.30427432790532</v>
      </c>
      <c r="I31" s="56">
        <v>26.431645569620269</v>
      </c>
      <c r="J31" s="56">
        <v>20.992113753980885</v>
      </c>
      <c r="K31" s="58">
        <v>26</v>
      </c>
      <c r="L31">
        <v>0</v>
      </c>
      <c r="M31" s="51">
        <v>694.64550184424161</v>
      </c>
      <c r="N31">
        <v>450</v>
      </c>
      <c r="O31" s="46">
        <v>1</v>
      </c>
      <c r="P31" t="s">
        <v>359</v>
      </c>
    </row>
    <row r="32" spans="1:16" x14ac:dyDescent="0.3">
      <c r="A32" s="49" t="s">
        <v>328</v>
      </c>
      <c r="B32" s="49" t="s">
        <v>158</v>
      </c>
      <c r="C32" t="str">
        <f>Tabla4[[#This Row],[Dcr Fundo]]&amp;"-"&amp;Tabla4[[#This Row],[Código del Sitio]]</f>
        <v>Don Hilario-FACOST00129P05574-574</v>
      </c>
      <c r="D32" s="49">
        <v>4.32</v>
      </c>
      <c r="E32" s="30" t="s">
        <v>13</v>
      </c>
      <c r="F32" s="56">
        <v>345</v>
      </c>
      <c r="G32" s="54">
        <v>0.97758538858982758</v>
      </c>
      <c r="H32" s="22">
        <v>323.72331318227276</v>
      </c>
      <c r="I32" s="56">
        <v>32.294612068965513</v>
      </c>
      <c r="J32" s="56">
        <v>23.229197007245407</v>
      </c>
      <c r="K32" s="58">
        <v>50</v>
      </c>
      <c r="L32">
        <v>0</v>
      </c>
      <c r="M32" s="51">
        <v>1253.7415451573606</v>
      </c>
      <c r="N32">
        <v>450</v>
      </c>
      <c r="O32" s="46">
        <v>1</v>
      </c>
      <c r="P32" t="s">
        <v>359</v>
      </c>
    </row>
    <row r="33" spans="1:16" x14ac:dyDescent="0.3">
      <c r="A33" s="49" t="s">
        <v>329</v>
      </c>
      <c r="B33" s="49" t="s">
        <v>158</v>
      </c>
      <c r="C33" t="str">
        <f>Tabla4[[#This Row],[Dcr Fundo]]&amp;"-"&amp;Tabla4[[#This Row],[Código del Sitio]]</f>
        <v>Don Hilario-FACOST00129P05575-575</v>
      </c>
      <c r="D33" s="49">
        <v>4.72</v>
      </c>
      <c r="E33" s="30" t="s">
        <v>13</v>
      </c>
      <c r="F33" s="56">
        <v>385</v>
      </c>
      <c r="G33" s="54">
        <v>0.8571022357470135</v>
      </c>
      <c r="H33" s="22">
        <v>315.61229339982026</v>
      </c>
      <c r="I33" s="56">
        <v>30.719761904761899</v>
      </c>
      <c r="J33" s="56">
        <v>22.528775246951366</v>
      </c>
      <c r="K33" s="58">
        <v>85</v>
      </c>
      <c r="L33">
        <v>0</v>
      </c>
      <c r="M33" s="51">
        <v>1335.5071072754713</v>
      </c>
      <c r="N33">
        <v>450</v>
      </c>
      <c r="O33" s="46">
        <v>1</v>
      </c>
      <c r="P33" t="s">
        <v>359</v>
      </c>
    </row>
    <row r="34" spans="1:16" x14ac:dyDescent="0.3">
      <c r="A34" s="49" t="s">
        <v>330</v>
      </c>
      <c r="B34" s="49" t="s">
        <v>158</v>
      </c>
      <c r="C34" t="str">
        <f>Tabla4[[#This Row],[Dcr Fundo]]&amp;"-"&amp;Tabla4[[#This Row],[Código del Sitio]]</f>
        <v>Don Hilario-FACOST00129P05576-576</v>
      </c>
      <c r="D34" s="49">
        <v>3.7</v>
      </c>
      <c r="E34" s="30" t="s">
        <v>13</v>
      </c>
      <c r="F34" s="56">
        <v>475</v>
      </c>
      <c r="G34" s="54">
        <v>1.0131406797568674</v>
      </c>
      <c r="H34" s="22">
        <v>462.82483277254903</v>
      </c>
      <c r="I34" s="56">
        <v>30.769083107497746</v>
      </c>
      <c r="J34" s="56">
        <v>25.605110216140435</v>
      </c>
      <c r="K34" s="58">
        <v>60</v>
      </c>
      <c r="L34">
        <v>0</v>
      </c>
      <c r="M34" s="51">
        <v>1535.2131115481836</v>
      </c>
      <c r="N34">
        <v>450</v>
      </c>
      <c r="O34" s="46">
        <v>1</v>
      </c>
      <c r="P34" t="s">
        <v>359</v>
      </c>
    </row>
    <row r="35" spans="1:16" x14ac:dyDescent="0.3">
      <c r="A35" s="49" t="s">
        <v>331</v>
      </c>
      <c r="B35" s="49" t="s">
        <v>158</v>
      </c>
      <c r="C35" t="str">
        <f>Tabla4[[#This Row],[Dcr Fundo]]&amp;"-"&amp;Tabla4[[#This Row],[Código del Sitio]]</f>
        <v>Don Hilario-FACOST00129P05577-577</v>
      </c>
      <c r="D35" s="49">
        <v>6.38</v>
      </c>
      <c r="E35" s="30" t="s">
        <v>13</v>
      </c>
      <c r="F35" s="56">
        <v>480</v>
      </c>
      <c r="G35" s="54">
        <v>0.7003781750921072</v>
      </c>
      <c r="H35" s="22">
        <v>374.99333412628164</v>
      </c>
      <c r="I35" s="56">
        <v>29.12332470094956</v>
      </c>
      <c r="J35" s="56">
        <v>23.774219826120426</v>
      </c>
      <c r="K35" s="58">
        <v>120</v>
      </c>
      <c r="L35">
        <v>0</v>
      </c>
      <c r="M35" s="51">
        <v>2144.838123402069</v>
      </c>
      <c r="N35">
        <v>450</v>
      </c>
      <c r="O35" s="46">
        <v>1</v>
      </c>
      <c r="P35" t="s">
        <v>359</v>
      </c>
    </row>
    <row r="36" spans="1:16" x14ac:dyDescent="0.3">
      <c r="A36" s="49" t="s">
        <v>332</v>
      </c>
      <c r="B36" s="49" t="s">
        <v>157</v>
      </c>
      <c r="C36" t="str">
        <f>Tabla4[[#This Row],[Dcr Fundo]]&amp;"-"&amp;Tabla4[[#This Row],[Código del Sitio]]</f>
        <v>La Aurora Celeste-FACOIT00145P03149-149</v>
      </c>
      <c r="D36" s="49">
        <v>2.2000000000000002</v>
      </c>
      <c r="E36" s="30" t="s">
        <v>13</v>
      </c>
      <c r="F36" s="56">
        <v>715.55555555555554</v>
      </c>
      <c r="G36" s="54">
        <v>0.65339131581243981</v>
      </c>
      <c r="H36" s="22">
        <v>521.51454097194187</v>
      </c>
      <c r="I36" s="56">
        <v>28.908867783544235</v>
      </c>
      <c r="J36" s="56">
        <v>23.699199396769764</v>
      </c>
      <c r="K36" s="58">
        <v>300</v>
      </c>
      <c r="L36">
        <v>0</v>
      </c>
      <c r="M36" s="51">
        <v>1028.5831291589607</v>
      </c>
      <c r="N36">
        <v>450</v>
      </c>
      <c r="O36" s="46">
        <v>1</v>
      </c>
      <c r="P36" t="s">
        <v>229</v>
      </c>
    </row>
    <row r="37" spans="1:16" x14ac:dyDescent="0.3">
      <c r="A37" s="49" t="s">
        <v>333</v>
      </c>
      <c r="B37" s="49" t="s">
        <v>158</v>
      </c>
      <c r="C37" t="str">
        <f>Tabla4[[#This Row],[Dcr Fundo]]&amp;"-"&amp;Tabla4[[#This Row],[Código del Sitio]]</f>
        <v>Don Hilario-FACOST00129P05579-579</v>
      </c>
      <c r="D37" s="49">
        <v>2.42</v>
      </c>
      <c r="E37" s="30" t="s">
        <v>13</v>
      </c>
      <c r="F37" s="56">
        <v>530</v>
      </c>
      <c r="G37" s="54">
        <v>0.68270428883754486</v>
      </c>
      <c r="H37" s="22">
        <v>403.60655112537512</v>
      </c>
      <c r="I37" s="56">
        <v>28.045760869565225</v>
      </c>
      <c r="J37" s="56">
        <v>24.290753566290409</v>
      </c>
      <c r="K37" s="58">
        <v>41</v>
      </c>
      <c r="L37">
        <v>0</v>
      </c>
      <c r="M37" s="51">
        <v>875.636520863035</v>
      </c>
      <c r="N37">
        <v>450</v>
      </c>
      <c r="O37" s="46">
        <v>1</v>
      </c>
      <c r="P37" t="s">
        <v>359</v>
      </c>
    </row>
    <row r="38" spans="1:16" x14ac:dyDescent="0.3">
      <c r="A38" s="50" t="s">
        <v>334</v>
      </c>
      <c r="B38" s="50" t="s">
        <v>158</v>
      </c>
      <c r="C38" t="str">
        <f>Tabla4[[#This Row],[Dcr Fundo]]&amp;"-"&amp;Tabla4[[#This Row],[Código del Sitio]]</f>
        <v>Don Hilario-FACOST00129P05580-580</v>
      </c>
      <c r="D38" s="50">
        <v>3.86</v>
      </c>
      <c r="E38" s="30" t="s">
        <v>13</v>
      </c>
      <c r="F38" s="57">
        <v>425</v>
      </c>
      <c r="G38" s="55">
        <v>0.6567603653501638</v>
      </c>
      <c r="H38" s="22">
        <v>311.34763555361923</v>
      </c>
      <c r="I38" s="57">
        <v>28.169595343680708</v>
      </c>
      <c r="J38" s="57">
        <v>23.446731381799911</v>
      </c>
      <c r="K38" s="59">
        <v>82</v>
      </c>
      <c r="L38">
        <v>0</v>
      </c>
      <c r="M38" s="51">
        <v>1077.4153793569437</v>
      </c>
      <c r="N38">
        <v>450</v>
      </c>
      <c r="O38" s="46">
        <v>1</v>
      </c>
      <c r="P38" t="s">
        <v>359</v>
      </c>
    </row>
    <row r="39" spans="1:16" x14ac:dyDescent="0.3">
      <c r="A39" t="s">
        <v>335</v>
      </c>
      <c r="B39" s="30" t="s">
        <v>157</v>
      </c>
      <c r="C39" t="str">
        <f>Tabla4[[#This Row],[Dcr Fundo]]&amp;"-"&amp;Tabla4[[#This Row],[Código del Sitio]]</f>
        <v>La Aurora Celeste-FACOIT00145P03150-150</v>
      </c>
      <c r="D39" s="29">
        <v>1.65</v>
      </c>
      <c r="E39" s="30" t="s">
        <v>13</v>
      </c>
      <c r="F39" s="52">
        <v>620</v>
      </c>
      <c r="G39" s="31">
        <v>0.89000180095604398</v>
      </c>
      <c r="H39" s="22">
        <v>615.50598616034267</v>
      </c>
      <c r="I39" s="60">
        <v>30.654896596103491</v>
      </c>
      <c r="J39" s="60">
        <v>26.656776739202776</v>
      </c>
      <c r="K39" s="19">
        <v>80</v>
      </c>
      <c r="L39">
        <v>0</v>
      </c>
      <c r="M39" s="51">
        <v>910.47184237803265</v>
      </c>
      <c r="N39">
        <v>450</v>
      </c>
      <c r="O39" s="46">
        <v>1</v>
      </c>
      <c r="P39" t="s">
        <v>229</v>
      </c>
    </row>
    <row r="40" spans="1:16" x14ac:dyDescent="0.3">
      <c r="A40" t="s">
        <v>198</v>
      </c>
      <c r="B40" s="30" t="s">
        <v>157</v>
      </c>
      <c r="C40" t="str">
        <f>Tabla4[[#This Row],[Dcr Fundo]]&amp;"-"&amp;Tabla4[[#This Row],[Código del Sitio]]</f>
        <v>La Aurora Celeste-FACOIT00145P03161-161</v>
      </c>
      <c r="D40" s="29">
        <v>6.5</v>
      </c>
      <c r="E40" s="30" t="s">
        <v>13</v>
      </c>
      <c r="F40" s="52">
        <v>675</v>
      </c>
      <c r="G40" s="31">
        <v>0.65786644230153457</v>
      </c>
      <c r="H40" s="22">
        <v>495.3260998923991</v>
      </c>
      <c r="I40" s="60">
        <v>29.330223657622934</v>
      </c>
      <c r="J40" s="60">
        <v>23.395189487942709</v>
      </c>
      <c r="K40" s="19">
        <v>150</v>
      </c>
      <c r="L40">
        <v>0</v>
      </c>
      <c r="M40" s="51">
        <v>2809.4438969748589</v>
      </c>
      <c r="N40">
        <v>450</v>
      </c>
      <c r="O40" s="46">
        <v>1</v>
      </c>
      <c r="P40" t="s">
        <v>229</v>
      </c>
    </row>
    <row r="41" spans="1:16" x14ac:dyDescent="0.3">
      <c r="A41" t="s">
        <v>336</v>
      </c>
      <c r="B41" s="30" t="s">
        <v>158</v>
      </c>
      <c r="C41" t="str">
        <f>Tabla4[[#This Row],[Dcr Fundo]]&amp;"-"&amp;Tabla4[[#This Row],[Código del Sitio]]</f>
        <v>Don Hilario-FACOST00129P05584-584</v>
      </c>
      <c r="D41" s="29">
        <v>0.75</v>
      </c>
      <c r="E41" s="30" t="s">
        <v>13</v>
      </c>
      <c r="F41" s="52">
        <v>230</v>
      </c>
      <c r="G41" s="31">
        <v>0.93458371220956171</v>
      </c>
      <c r="H41" s="22">
        <v>239.77050062264271</v>
      </c>
      <c r="I41" s="60">
        <v>33.639130434782608</v>
      </c>
      <c r="J41" s="60">
        <v>22.678236915029153</v>
      </c>
      <c r="K41" s="19">
        <v>20</v>
      </c>
      <c r="L41">
        <v>0</v>
      </c>
      <c r="M41" s="51">
        <v>161.21569035614937</v>
      </c>
      <c r="N41">
        <v>450</v>
      </c>
      <c r="O41" s="46">
        <v>1</v>
      </c>
      <c r="P41" t="s">
        <v>359</v>
      </c>
    </row>
    <row r="42" spans="1:16" x14ac:dyDescent="0.3">
      <c r="A42" t="s">
        <v>226</v>
      </c>
      <c r="B42" s="30" t="s">
        <v>158</v>
      </c>
      <c r="C42" t="str">
        <f>Tabla4[[#This Row],[Dcr Fundo]]&amp;"-"&amp;Tabla4[[#This Row],[Código del Sitio]]</f>
        <v>Don Hilario-FACOST00129P05592-592</v>
      </c>
      <c r="D42" s="29">
        <v>3.12</v>
      </c>
      <c r="E42" s="30" t="s">
        <v>13</v>
      </c>
      <c r="F42" s="52">
        <v>330</v>
      </c>
      <c r="G42" s="31">
        <v>1.0501999167066849</v>
      </c>
      <c r="H42" s="22">
        <v>386.57665645644846</v>
      </c>
      <c r="I42" s="60">
        <v>34.943939393939409</v>
      </c>
      <c r="J42" s="60">
        <v>24.234635920157519</v>
      </c>
      <c r="K42" s="19">
        <v>130</v>
      </c>
      <c r="L42">
        <v>0</v>
      </c>
      <c r="M42" s="51">
        <v>1081.2858342412028</v>
      </c>
      <c r="N42">
        <v>450</v>
      </c>
      <c r="O42" s="46">
        <v>1</v>
      </c>
      <c r="P42" t="s">
        <v>359</v>
      </c>
    </row>
    <row r="43" spans="1:16" x14ac:dyDescent="0.3">
      <c r="A43" t="s">
        <v>337</v>
      </c>
      <c r="B43" s="30" t="s">
        <v>157</v>
      </c>
      <c r="C43" t="str">
        <f>Tabla4[[#This Row],[Dcr Fundo]]&amp;"-"&amp;Tabla4[[#This Row],[Código del Sitio]]</f>
        <v>La Aurora Celeste-FACOIT00145P03135-135</v>
      </c>
      <c r="D43" s="29">
        <v>6</v>
      </c>
      <c r="E43" s="30" t="s">
        <v>13</v>
      </c>
      <c r="F43" s="52">
        <v>517.5</v>
      </c>
      <c r="G43" s="31">
        <v>0.89065154162108839</v>
      </c>
      <c r="H43" s="22">
        <v>514.12400757268631</v>
      </c>
      <c r="I43" s="60">
        <v>30.103091853762781</v>
      </c>
      <c r="J43" s="60">
        <v>25.90648782078927</v>
      </c>
      <c r="K43" s="19">
        <v>85</v>
      </c>
      <c r="L43">
        <v>0</v>
      </c>
      <c r="M43" s="51">
        <v>2765.4730367334791</v>
      </c>
      <c r="N43">
        <v>450</v>
      </c>
      <c r="O43" s="46">
        <v>1</v>
      </c>
      <c r="P43" t="s">
        <v>228</v>
      </c>
    </row>
    <row r="44" spans="1:16" x14ac:dyDescent="0.3">
      <c r="A44" t="s">
        <v>338</v>
      </c>
      <c r="B44" s="30" t="s">
        <v>157</v>
      </c>
      <c r="C44" t="str">
        <f>Tabla4[[#This Row],[Dcr Fundo]]&amp;"-"&amp;Tabla4[[#This Row],[Código del Sitio]]</f>
        <v>La Aurora Celeste-FACOIT00145P03157-157</v>
      </c>
      <c r="D44" s="29">
        <v>13</v>
      </c>
      <c r="E44" s="30" t="s">
        <v>13</v>
      </c>
      <c r="F44" s="52">
        <v>366</v>
      </c>
      <c r="G44" s="31">
        <v>0.93892790264656523</v>
      </c>
      <c r="H44" s="22">
        <v>383.32137464433112</v>
      </c>
      <c r="I44" s="60">
        <v>33.137216403162064</v>
      </c>
      <c r="J44" s="60">
        <v>23.115869167072116</v>
      </c>
      <c r="K44" s="19">
        <v>205</v>
      </c>
      <c r="L44">
        <v>0</v>
      </c>
      <c r="M44" s="51">
        <v>4363.6563584232172</v>
      </c>
      <c r="N44">
        <v>450</v>
      </c>
      <c r="O44" s="46">
        <v>1</v>
      </c>
      <c r="P44" t="s">
        <v>228</v>
      </c>
    </row>
    <row r="45" spans="1:16" x14ac:dyDescent="0.3">
      <c r="A45" t="s">
        <v>244</v>
      </c>
      <c r="B45" s="30" t="s">
        <v>159</v>
      </c>
      <c r="C45" t="str">
        <f>Tabla4[[#This Row],[Dcr Fundo]]&amp;"-"&amp;Tabla4[[#This Row],[Código del Sitio]]</f>
        <v>Sangrador-FACOST00147P03161-161</v>
      </c>
      <c r="D45" s="29">
        <v>7.5</v>
      </c>
      <c r="E45" s="30" t="s">
        <v>13</v>
      </c>
      <c r="F45" s="52">
        <v>357</v>
      </c>
      <c r="G45" s="31">
        <v>0.95088147930646993</v>
      </c>
      <c r="H45" s="22">
        <v>378.65553609861661</v>
      </c>
      <c r="I45" s="60">
        <v>33.777243244858923</v>
      </c>
      <c r="J45" s="60">
        <v>25.479458506272636</v>
      </c>
      <c r="K45" s="19">
        <v>139</v>
      </c>
      <c r="L45">
        <v>0</v>
      </c>
      <c r="M45" s="51">
        <v>2545.9851608430736</v>
      </c>
      <c r="N45">
        <v>450</v>
      </c>
      <c r="O45" s="46">
        <v>1</v>
      </c>
      <c r="P45" t="s">
        <v>243</v>
      </c>
    </row>
    <row r="46" spans="1:16" x14ac:dyDescent="0.3">
      <c r="A46" t="s">
        <v>339</v>
      </c>
      <c r="B46" s="30" t="s">
        <v>157</v>
      </c>
      <c r="C46" t="str">
        <f>Tabla4[[#This Row],[Dcr Fundo]]&amp;"-"&amp;Tabla4[[#This Row],[Código del Sitio]]</f>
        <v>La Aurora Celeste-FACOIT00145P03158-158</v>
      </c>
      <c r="D46" s="29">
        <v>4.5</v>
      </c>
      <c r="E46" s="30" t="s">
        <v>13</v>
      </c>
      <c r="F46" s="52">
        <v>366</v>
      </c>
      <c r="G46" s="31">
        <v>0.93892790264656523</v>
      </c>
      <c r="H46" s="22">
        <v>383.32137464433112</v>
      </c>
      <c r="I46" s="60">
        <v>33.137216403162064</v>
      </c>
      <c r="J46" s="60">
        <v>23.115869167072116</v>
      </c>
      <c r="K46" s="19">
        <v>205</v>
      </c>
      <c r="L46">
        <v>0</v>
      </c>
      <c r="M46" s="51">
        <v>1510.4964317618828</v>
      </c>
      <c r="N46">
        <v>450</v>
      </c>
      <c r="O46" s="46">
        <v>1</v>
      </c>
      <c r="P46" t="s">
        <v>228</v>
      </c>
    </row>
    <row r="47" spans="1:16" x14ac:dyDescent="0.3">
      <c r="A47" t="s">
        <v>340</v>
      </c>
      <c r="B47" s="30" t="s">
        <v>157</v>
      </c>
      <c r="C47" t="str">
        <f>Tabla4[[#This Row],[Dcr Fundo]]&amp;"-"&amp;Tabla4[[#This Row],[Código del Sitio]]</f>
        <v>La Aurora Celeste-FACOIT00145P03162-162</v>
      </c>
      <c r="D47" s="29">
        <v>4.4000000000000004</v>
      </c>
      <c r="E47" s="30" t="s">
        <v>13</v>
      </c>
      <c r="F47" s="52">
        <v>630.47619047619048</v>
      </c>
      <c r="G47" s="31">
        <v>0.7958256473081825</v>
      </c>
      <c r="H47" s="22">
        <v>559.67554087909798</v>
      </c>
      <c r="I47" s="60">
        <v>30.82902407411839</v>
      </c>
      <c r="J47" s="60">
        <v>25.455293464921997</v>
      </c>
      <c r="K47" s="19">
        <v>100</v>
      </c>
      <c r="L47">
        <v>0</v>
      </c>
      <c r="M47" s="51">
        <v>2207.6961385516897</v>
      </c>
      <c r="N47">
        <v>450</v>
      </c>
      <c r="O47" s="46">
        <v>1</v>
      </c>
      <c r="P47" t="s">
        <v>229</v>
      </c>
    </row>
    <row r="48" spans="1:16" x14ac:dyDescent="0.3">
      <c r="A48" t="s">
        <v>341</v>
      </c>
      <c r="B48" s="30" t="s">
        <v>157</v>
      </c>
      <c r="C48" t="str">
        <f>Tabla4[[#This Row],[Dcr Fundo]]&amp;"-"&amp;Tabla4[[#This Row],[Código del Sitio]]</f>
        <v>La Aurora Celeste-FACOIT00145P03219-219</v>
      </c>
      <c r="D48" s="29">
        <v>3.9</v>
      </c>
      <c r="E48" s="30" t="s">
        <v>13</v>
      </c>
      <c r="F48" s="52">
        <v>360</v>
      </c>
      <c r="G48" s="31">
        <v>0.95348510385751895</v>
      </c>
      <c r="H48" s="22">
        <v>382.88303110842929</v>
      </c>
      <c r="I48" s="60">
        <v>30.736111111111114</v>
      </c>
      <c r="J48" s="60">
        <v>28.900481529265519</v>
      </c>
      <c r="K48" s="19">
        <v>140</v>
      </c>
      <c r="L48">
        <v>0</v>
      </c>
      <c r="M48" s="51">
        <v>1338.6930858159567</v>
      </c>
      <c r="N48">
        <v>450</v>
      </c>
      <c r="O48" s="46">
        <v>1</v>
      </c>
      <c r="P48" t="s">
        <v>229</v>
      </c>
    </row>
    <row r="49" spans="1:16" x14ac:dyDescent="0.3">
      <c r="A49" t="s">
        <v>342</v>
      </c>
      <c r="B49" s="30" t="s">
        <v>157</v>
      </c>
      <c r="C49" t="str">
        <f>Tabla4[[#This Row],[Dcr Fundo]]&amp;"-"&amp;Tabla4[[#This Row],[Código del Sitio]]</f>
        <v>La Aurora Celeste-FACOIT00145P03220-220</v>
      </c>
      <c r="D49" s="29">
        <v>6.5</v>
      </c>
      <c r="E49" s="30" t="s">
        <v>13</v>
      </c>
      <c r="F49" s="52">
        <v>427.5</v>
      </c>
      <c r="G49" s="31">
        <v>0.94149908938973548</v>
      </c>
      <c r="H49" s="22">
        <v>448.95801529739202</v>
      </c>
      <c r="I49" s="60">
        <v>30.880605899932519</v>
      </c>
      <c r="J49" s="60">
        <v>27.79229595763347</v>
      </c>
      <c r="K49" s="19">
        <v>140</v>
      </c>
      <c r="L49">
        <v>0</v>
      </c>
      <c r="M49" s="51">
        <v>2616.1905946417273</v>
      </c>
      <c r="N49">
        <v>450</v>
      </c>
      <c r="O49" s="46">
        <v>1</v>
      </c>
      <c r="P49" t="s">
        <v>229</v>
      </c>
    </row>
    <row r="50" spans="1:16" x14ac:dyDescent="0.3">
      <c r="A50" t="s">
        <v>343</v>
      </c>
      <c r="B50" s="30" t="s">
        <v>157</v>
      </c>
      <c r="C50" t="str">
        <f>Tabla4[[#This Row],[Dcr Fundo]]&amp;"-"&amp;Tabla4[[#This Row],[Código del Sitio]]</f>
        <v>La Aurora Celeste-FACOIT00145P03160-160</v>
      </c>
      <c r="D50" s="29">
        <v>4</v>
      </c>
      <c r="E50" s="30" t="s">
        <v>13</v>
      </c>
      <c r="F50" s="52">
        <v>436</v>
      </c>
      <c r="G50" s="31">
        <v>0.82999515271959323</v>
      </c>
      <c r="H50" s="22">
        <v>403.65631520997511</v>
      </c>
      <c r="I50" s="60">
        <v>31.049912768909934</v>
      </c>
      <c r="J50" s="60">
        <v>24.330122976551998</v>
      </c>
      <c r="K50" s="19">
        <v>150</v>
      </c>
      <c r="L50">
        <v>0</v>
      </c>
      <c r="M50" s="51">
        <v>1447.5115463429706</v>
      </c>
      <c r="N50">
        <v>450</v>
      </c>
      <c r="O50" s="46">
        <v>1</v>
      </c>
      <c r="P50" t="s">
        <v>228</v>
      </c>
    </row>
    <row r="51" spans="1:16" x14ac:dyDescent="0.3">
      <c r="A51" t="s">
        <v>344</v>
      </c>
      <c r="B51" s="30" t="s">
        <v>159</v>
      </c>
      <c r="C51" t="str">
        <f>Tabla4[[#This Row],[Dcr Fundo]]&amp;"-"&amp;Tabla4[[#This Row],[Código del Sitio]]</f>
        <v>Sangrador-FACOST00147P03163-163</v>
      </c>
      <c r="D51" s="29">
        <v>10</v>
      </c>
      <c r="E51" s="30" t="s">
        <v>13</v>
      </c>
      <c r="F51" s="52">
        <v>350</v>
      </c>
      <c r="G51" s="31">
        <v>1.1099629142098872</v>
      </c>
      <c r="H51" s="22">
        <v>433.33744559225937</v>
      </c>
      <c r="I51" s="60">
        <v>34.176750339048724</v>
      </c>
      <c r="J51" s="60">
        <v>27.13733545798739</v>
      </c>
      <c r="K51" s="19">
        <v>150</v>
      </c>
      <c r="L51">
        <v>0</v>
      </c>
      <c r="M51" s="51">
        <v>3884.8701997346047</v>
      </c>
      <c r="N51">
        <v>450</v>
      </c>
      <c r="O51" s="46">
        <v>1</v>
      </c>
      <c r="P51" t="s">
        <v>243</v>
      </c>
    </row>
    <row r="52" spans="1:16" x14ac:dyDescent="0.3">
      <c r="A52" t="s">
        <v>345</v>
      </c>
      <c r="B52" s="30" t="s">
        <v>159</v>
      </c>
      <c r="C52" t="str">
        <f>Tabla4[[#This Row],[Dcr Fundo]]&amp;"-"&amp;Tabla4[[#This Row],[Código del Sitio]]</f>
        <v>Sangrador-FACOST00147P03165-165</v>
      </c>
      <c r="D52" s="29">
        <v>13.73</v>
      </c>
      <c r="E52" s="30" t="s">
        <v>13</v>
      </c>
      <c r="F52" s="52">
        <v>300</v>
      </c>
      <c r="G52" s="31">
        <v>1.2315047662503158</v>
      </c>
      <c r="H52" s="22">
        <v>412.1042162577744</v>
      </c>
      <c r="I52" s="60">
        <v>35.937135631852854</v>
      </c>
      <c r="J52" s="60">
        <v>27.399177667063551</v>
      </c>
      <c r="K52" s="19">
        <v>103</v>
      </c>
      <c r="L52">
        <v>0</v>
      </c>
      <c r="M52" s="51">
        <v>5072.5681321850507</v>
      </c>
      <c r="N52">
        <v>450</v>
      </c>
      <c r="O52" s="46">
        <v>1</v>
      </c>
      <c r="P52" t="s">
        <v>243</v>
      </c>
    </row>
    <row r="53" spans="1:16" x14ac:dyDescent="0.3">
      <c r="A53" t="s">
        <v>346</v>
      </c>
      <c r="B53" s="30" t="s">
        <v>159</v>
      </c>
      <c r="C53" t="str">
        <f>Tabla4[[#This Row],[Dcr Fundo]]&amp;"-"&amp;Tabla4[[#This Row],[Código del Sitio]]</f>
        <v>Sangrador-FACOST00147P03178-178</v>
      </c>
      <c r="D53" s="29">
        <v>0.7</v>
      </c>
      <c r="E53" s="30" t="s">
        <v>13</v>
      </c>
      <c r="F53" s="52">
        <v>350.00000000000006</v>
      </c>
      <c r="G53" s="31">
        <v>1.2567016401557582</v>
      </c>
      <c r="H53" s="22">
        <v>490.62529175071438</v>
      </c>
      <c r="I53" s="60">
        <v>37.585714285714282</v>
      </c>
      <c r="J53" s="60">
        <v>25.523446128273367</v>
      </c>
      <c r="K53" s="19">
        <v>13</v>
      </c>
      <c r="L53">
        <v>0</v>
      </c>
      <c r="M53" s="51">
        <v>307.89190183816072</v>
      </c>
      <c r="N53">
        <v>450</v>
      </c>
      <c r="O53" s="46">
        <v>1</v>
      </c>
      <c r="P53" t="s">
        <v>243</v>
      </c>
    </row>
    <row r="54" spans="1:16" x14ac:dyDescent="0.3">
      <c r="A54" t="s">
        <v>347</v>
      </c>
      <c r="B54" s="30" t="s">
        <v>159</v>
      </c>
      <c r="C54" t="str">
        <f>Tabla4[[#This Row],[Dcr Fundo]]&amp;"-"&amp;Tabla4[[#This Row],[Código del Sitio]]</f>
        <v>Sangrador-FACOST00147P03179-179</v>
      </c>
      <c r="D54" s="29">
        <v>2.9</v>
      </c>
      <c r="E54" s="30" t="s">
        <v>13</v>
      </c>
      <c r="F54" s="52">
        <v>293.33333333333331</v>
      </c>
      <c r="G54" s="31">
        <v>1.1856786505057539</v>
      </c>
      <c r="H54" s="22">
        <v>387.95211468490925</v>
      </c>
      <c r="I54" s="60">
        <v>35.627698412698415</v>
      </c>
      <c r="J54" s="60">
        <v>26.901253808802451</v>
      </c>
      <c r="K54" s="19">
        <v>150</v>
      </c>
      <c r="L54">
        <v>0</v>
      </c>
      <c r="M54" s="51">
        <v>1008.6173053635612</v>
      </c>
      <c r="N54">
        <v>450</v>
      </c>
      <c r="O54" s="46">
        <v>1</v>
      </c>
      <c r="P54" t="s">
        <v>243</v>
      </c>
    </row>
    <row r="55" spans="1:16" x14ac:dyDescent="0.3">
      <c r="A55" t="s">
        <v>348</v>
      </c>
      <c r="B55" s="30" t="s">
        <v>355</v>
      </c>
      <c r="C55" t="str">
        <f>Tabla4[[#This Row],[Dcr Fundo]]&amp;"-"&amp;Tabla4[[#This Row],[Código del Sitio]]</f>
        <v>La Marta-FACOST00127P01071-071</v>
      </c>
      <c r="D55" s="29">
        <v>3.5</v>
      </c>
      <c r="E55" s="30" t="s">
        <v>13</v>
      </c>
      <c r="F55" s="52">
        <v>405</v>
      </c>
      <c r="G55" s="31">
        <v>0.89533125871384123</v>
      </c>
      <c r="H55" s="22">
        <v>404.47201313899131</v>
      </c>
      <c r="I55" s="60">
        <v>36.067387233060622</v>
      </c>
      <c r="J55" s="60">
        <v>26.296669667474728</v>
      </c>
      <c r="K55" s="19">
        <v>100</v>
      </c>
      <c r="L55">
        <v>0</v>
      </c>
      <c r="M55" s="51">
        <v>1269.1320592268698</v>
      </c>
      <c r="N55">
        <v>450</v>
      </c>
      <c r="O55" s="46">
        <v>1</v>
      </c>
      <c r="P55" t="s">
        <v>245</v>
      </c>
    </row>
    <row r="56" spans="1:16" x14ac:dyDescent="0.3">
      <c r="A56" t="s">
        <v>349</v>
      </c>
      <c r="B56" s="30" t="s">
        <v>355</v>
      </c>
      <c r="C56" t="str">
        <f>Tabla4[[#This Row],[Dcr Fundo]]&amp;"-"&amp;Tabla4[[#This Row],[Código del Sitio]]</f>
        <v>La Marta-FACOST00127P01079-079</v>
      </c>
      <c r="D56" s="29">
        <v>20</v>
      </c>
      <c r="E56" s="30" t="s">
        <v>13</v>
      </c>
      <c r="F56" s="52">
        <v>350</v>
      </c>
      <c r="G56" s="31">
        <v>1.1407560701108279</v>
      </c>
      <c r="H56" s="22">
        <v>445.35931348442813</v>
      </c>
      <c r="I56" s="60">
        <v>37.537354758987732</v>
      </c>
      <c r="J56" s="60">
        <v>25.596296258317206</v>
      </c>
      <c r="K56" s="19">
        <v>95</v>
      </c>
      <c r="L56">
        <v>0</v>
      </c>
      <c r="M56" s="51">
        <v>7985.292490775797</v>
      </c>
      <c r="N56">
        <v>450</v>
      </c>
      <c r="O56" s="46">
        <v>1</v>
      </c>
      <c r="P56" t="s">
        <v>245</v>
      </c>
    </row>
    <row r="57" spans="1:16" x14ac:dyDescent="0.3">
      <c r="A57" t="s">
        <v>350</v>
      </c>
      <c r="B57" s="30" t="s">
        <v>355</v>
      </c>
      <c r="C57" t="str">
        <f>Tabla4[[#This Row],[Dcr Fundo]]&amp;"-"&amp;Tabla4[[#This Row],[Código del Sitio]]</f>
        <v>La Marta-FACOST00127P01082-082</v>
      </c>
      <c r="D57" s="29">
        <v>8</v>
      </c>
      <c r="E57" s="30" t="s">
        <v>13</v>
      </c>
      <c r="F57" s="52">
        <v>353</v>
      </c>
      <c r="G57" s="31">
        <v>1.2208246569986905</v>
      </c>
      <c r="H57" s="22">
        <v>480.70396421699701</v>
      </c>
      <c r="I57" s="60">
        <v>38.171596982038075</v>
      </c>
      <c r="J57" s="60">
        <v>25.873354632622505</v>
      </c>
      <c r="K57" s="19">
        <v>95</v>
      </c>
      <c r="L57">
        <v>0</v>
      </c>
      <c r="M57" s="51">
        <v>3447.6088313643027</v>
      </c>
      <c r="N57">
        <v>450</v>
      </c>
      <c r="O57" s="46">
        <v>1</v>
      </c>
      <c r="P57" t="s">
        <v>245</v>
      </c>
    </row>
    <row r="58" spans="1:16" x14ac:dyDescent="0.3">
      <c r="A58" t="s">
        <v>351</v>
      </c>
      <c r="B58" s="30" t="s">
        <v>158</v>
      </c>
      <c r="C58" t="str">
        <f>Tabla4[[#This Row],[Dcr Fundo]]&amp;"-"&amp;Tabla4[[#This Row],[Código del Sitio]]</f>
        <v>Don Hilario-FACOST00129P05601-601</v>
      </c>
      <c r="D58" s="29">
        <v>3.5</v>
      </c>
      <c r="E58" s="30" t="s">
        <v>13</v>
      </c>
      <c r="F58" s="52">
        <v>380</v>
      </c>
      <c r="G58" s="31">
        <v>0.86262268984190438</v>
      </c>
      <c r="H58" s="22">
        <v>365.64040394860422</v>
      </c>
      <c r="I58" s="60">
        <v>32.164203296703299</v>
      </c>
      <c r="J58" s="60">
        <v>23.938505083220608</v>
      </c>
      <c r="K58" s="19">
        <v>94</v>
      </c>
      <c r="L58">
        <v>0</v>
      </c>
      <c r="M58" s="51">
        <v>1147.2881774897328</v>
      </c>
      <c r="N58">
        <v>450</v>
      </c>
      <c r="O58" s="46">
        <v>1</v>
      </c>
      <c r="P58" t="s">
        <v>359</v>
      </c>
    </row>
    <row r="59" spans="1:16" x14ac:dyDescent="0.3">
      <c r="A59" t="s">
        <v>352</v>
      </c>
      <c r="B59" s="30" t="s">
        <v>158</v>
      </c>
      <c r="C59" t="str">
        <f>Tabla4[[#This Row],[Dcr Fundo]]&amp;"-"&amp;Tabla4[[#This Row],[Código del Sitio]]</f>
        <v>Don Hilario-FACOST00129P05602-602</v>
      </c>
      <c r="D59" s="29">
        <v>1.42</v>
      </c>
      <c r="E59" s="30" t="s">
        <v>13</v>
      </c>
      <c r="F59" s="52">
        <v>500</v>
      </c>
      <c r="G59" s="31">
        <v>0.86092345710101936</v>
      </c>
      <c r="H59" s="22">
        <v>480.15809096543188</v>
      </c>
      <c r="I59" s="60">
        <v>32.052</v>
      </c>
      <c r="J59" s="60">
        <v>24.064947915468522</v>
      </c>
      <c r="K59" s="19">
        <v>25</v>
      </c>
      <c r="L59">
        <v>0</v>
      </c>
      <c r="M59" s="51">
        <v>611.25565454172374</v>
      </c>
      <c r="N59">
        <v>450</v>
      </c>
      <c r="O59" s="46">
        <v>1</v>
      </c>
      <c r="P59" t="s">
        <v>359</v>
      </c>
    </row>
    <row r="60" spans="1:16" x14ac:dyDescent="0.3">
      <c r="A60" t="s">
        <v>227</v>
      </c>
      <c r="B60" s="30" t="s">
        <v>158</v>
      </c>
      <c r="C60" t="str">
        <f>Tabla4[[#This Row],[Dcr Fundo]]&amp;"-"&amp;Tabla4[[#This Row],[Código del Sitio]]</f>
        <v>Don Hilario-FACOST00129P05603-603</v>
      </c>
      <c r="D60" s="29">
        <v>5</v>
      </c>
      <c r="E60" s="30" t="s">
        <v>13</v>
      </c>
      <c r="F60" s="52">
        <v>363.33333333333331</v>
      </c>
      <c r="G60" s="31">
        <v>0.85803263787779172</v>
      </c>
      <c r="H60" s="22">
        <v>347.74328882200888</v>
      </c>
      <c r="I60" s="60">
        <v>32.520863636363636</v>
      </c>
      <c r="J60" s="60">
        <v>23.92158403824104</v>
      </c>
      <c r="K60" s="19">
        <v>120</v>
      </c>
      <c r="L60">
        <v>0</v>
      </c>
      <c r="M60" s="51">
        <v>1558.7592921446551</v>
      </c>
      <c r="N60">
        <v>450</v>
      </c>
      <c r="O60" s="46">
        <v>1</v>
      </c>
      <c r="P60" t="s">
        <v>359</v>
      </c>
    </row>
    <row r="61" spans="1:16" x14ac:dyDescent="0.3">
      <c r="A61" t="s">
        <v>353</v>
      </c>
      <c r="B61" s="30" t="s">
        <v>158</v>
      </c>
      <c r="C61" t="str">
        <f>Tabla4[[#This Row],[Dcr Fundo]]&amp;"-"&amp;Tabla4[[#This Row],[Código del Sitio]]</f>
        <v>Don Hilario-FACOST00129P05604-604</v>
      </c>
      <c r="D61" s="29">
        <v>4</v>
      </c>
      <c r="E61" s="30" t="s">
        <v>13</v>
      </c>
      <c r="F61" s="52">
        <v>376.66666666666669</v>
      </c>
      <c r="G61" s="31">
        <v>0.91736498938849442</v>
      </c>
      <c r="H61" s="22">
        <v>385.43314296672202</v>
      </c>
      <c r="I61" s="60">
        <v>32.464013021229157</v>
      </c>
      <c r="J61" s="60">
        <v>24.696838435849909</v>
      </c>
      <c r="K61" s="19">
        <v>72</v>
      </c>
      <c r="L61">
        <v>0</v>
      </c>
      <c r="M61" s="51">
        <v>1382.1632506786655</v>
      </c>
      <c r="N61">
        <v>450</v>
      </c>
      <c r="O61" s="46">
        <v>1</v>
      </c>
      <c r="P61" t="s">
        <v>359</v>
      </c>
    </row>
  </sheetData>
  <sheetProtection insertRows="0" deleteRows="0"/>
  <protectedRanges>
    <protectedRange sqref="A2:O99" name="Rango1"/>
  </protectedRanges>
  <phoneticPr fontId="4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_Generales">
    <tabColor theme="5" tint="0.39997558519241921"/>
  </sheetPr>
  <dimension ref="A1:AA5"/>
  <sheetViews>
    <sheetView topLeftCell="E1" zoomScaleNormal="100" workbookViewId="0">
      <selection activeCell="S2" sqref="S2"/>
    </sheetView>
  </sheetViews>
  <sheetFormatPr baseColWidth="10" defaultRowHeight="14.4" x14ac:dyDescent="0.3"/>
  <cols>
    <col min="1" max="2" width="23.6640625" bestFit="1" customWidth="1"/>
    <col min="3" max="3" width="18.88671875" bestFit="1" customWidth="1"/>
    <col min="4" max="5" width="11.44140625" customWidth="1"/>
    <col min="8" max="8" width="21.88671875" bestFit="1" customWidth="1"/>
    <col min="23" max="23" width="29.33203125" bestFit="1" customWidth="1"/>
    <col min="24" max="24" width="14.109375" bestFit="1" customWidth="1"/>
    <col min="26" max="26" width="24.6640625" bestFit="1" customWidth="1"/>
  </cols>
  <sheetData>
    <row r="1" spans="1:27" x14ac:dyDescent="0.3">
      <c r="A1" s="34" t="s">
        <v>20</v>
      </c>
      <c r="B1" s="34" t="s">
        <v>81</v>
      </c>
      <c r="C1" s="34" t="s">
        <v>82</v>
      </c>
      <c r="D1" s="34" t="s">
        <v>83</v>
      </c>
      <c r="E1" s="34" t="s">
        <v>84</v>
      </c>
      <c r="F1" s="34" t="s">
        <v>85</v>
      </c>
      <c r="G1" s="34" t="s">
        <v>86</v>
      </c>
      <c r="H1" s="34" t="s">
        <v>87</v>
      </c>
      <c r="I1" s="36" t="s">
        <v>88</v>
      </c>
      <c r="J1" s="37" t="s">
        <v>89</v>
      </c>
      <c r="K1" s="37" t="s">
        <v>90</v>
      </c>
      <c r="L1" s="37" t="s">
        <v>91</v>
      </c>
      <c r="M1" s="37" t="s">
        <v>92</v>
      </c>
      <c r="N1" s="37" t="s">
        <v>93</v>
      </c>
      <c r="O1" s="37" t="s">
        <v>94</v>
      </c>
      <c r="P1" s="37" t="s">
        <v>95</v>
      </c>
      <c r="Q1" s="37" t="s">
        <v>96</v>
      </c>
      <c r="R1" s="37" t="s">
        <v>97</v>
      </c>
      <c r="S1" s="37" t="s">
        <v>98</v>
      </c>
      <c r="T1" s="37" t="s">
        <v>99</v>
      </c>
      <c r="U1" s="37" t="s">
        <v>100</v>
      </c>
      <c r="V1" s="37" t="s">
        <v>101</v>
      </c>
      <c r="W1" s="37" t="s">
        <v>102</v>
      </c>
      <c r="X1" s="37" t="s">
        <v>103</v>
      </c>
      <c r="Y1" s="34" t="s">
        <v>104</v>
      </c>
      <c r="Z1" s="34" t="s">
        <v>105</v>
      </c>
      <c r="AA1" s="34" t="s">
        <v>114</v>
      </c>
    </row>
    <row r="2" spans="1:27" x14ac:dyDescent="0.3">
      <c r="A2" s="17">
        <v>44317</v>
      </c>
      <c r="B2">
        <v>58</v>
      </c>
      <c r="C2">
        <v>77.430000000000007</v>
      </c>
      <c r="D2" s="18">
        <f>550*0.19</f>
        <v>104.5</v>
      </c>
      <c r="E2" s="18">
        <f>310*0.19</f>
        <v>58.9</v>
      </c>
      <c r="F2" s="18">
        <f>370/1.21</f>
        <v>305.78512396694214</v>
      </c>
      <c r="G2" s="18">
        <f>322/1.21</f>
        <v>266.11570247933884</v>
      </c>
      <c r="H2" s="20">
        <v>10</v>
      </c>
      <c r="I2">
        <v>16</v>
      </c>
      <c r="J2">
        <v>10</v>
      </c>
      <c r="K2" t="s">
        <v>106</v>
      </c>
      <c r="L2">
        <v>12</v>
      </c>
      <c r="M2" t="s">
        <v>107</v>
      </c>
      <c r="N2">
        <v>2</v>
      </c>
      <c r="O2">
        <v>7.5</v>
      </c>
      <c r="P2">
        <v>8.3000000000000007</v>
      </c>
      <c r="Q2">
        <v>0.2</v>
      </c>
      <c r="R2">
        <v>2500</v>
      </c>
      <c r="S2">
        <v>5800</v>
      </c>
      <c r="T2">
        <f>ROUND(450/1.21,0)</f>
        <v>372</v>
      </c>
      <c r="U2" s="19">
        <f>390/1.21</f>
        <v>322.31404958677689</v>
      </c>
      <c r="V2" s="19">
        <f>745/1.21</f>
        <v>615.70247933884298</v>
      </c>
      <c r="W2">
        <v>1500</v>
      </c>
      <c r="X2">
        <v>1000</v>
      </c>
      <c r="Y2">
        <v>10</v>
      </c>
      <c r="Z2" s="19">
        <f>282/1.21</f>
        <v>233.05785123966942</v>
      </c>
      <c r="AA2">
        <v>100</v>
      </c>
    </row>
    <row r="5" spans="1:27" x14ac:dyDescent="0.3">
      <c r="C5">
        <v>65</v>
      </c>
      <c r="D5">
        <f>+Datos_Generales[PRES_COMB_SIVA]/C5</f>
        <v>1.1912307692307693</v>
      </c>
    </row>
  </sheetData>
  <protectedRanges>
    <protectedRange sqref="A2:AA2" name="Rango1"/>
  </protectedRange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_Frentes">
    <tabColor theme="5" tint="0.39997558519241921"/>
  </sheetPr>
  <dimension ref="A1:AR51"/>
  <sheetViews>
    <sheetView topLeftCell="A10" zoomScale="85" zoomScaleNormal="85" workbookViewId="0">
      <selection activeCell="C25" sqref="C25"/>
    </sheetView>
  </sheetViews>
  <sheetFormatPr baseColWidth="10" defaultRowHeight="14.4" x14ac:dyDescent="0.3"/>
  <cols>
    <col min="1" max="1" width="18.33203125" style="21" bestFit="1" customWidth="1"/>
    <col min="2" max="2" width="35.5546875" customWidth="1"/>
    <col min="3" max="3" width="39.109375" customWidth="1"/>
    <col min="4" max="4" width="13" bestFit="1" customWidth="1"/>
    <col min="5" max="5" width="21.44140625" bestFit="1" customWidth="1"/>
    <col min="6" max="6" width="13.5546875" customWidth="1"/>
    <col min="7" max="7" width="25.44140625" style="16" bestFit="1" customWidth="1"/>
    <col min="8" max="8" width="21.6640625" bestFit="1" customWidth="1"/>
    <col min="9" max="9" width="11.33203125" bestFit="1" customWidth="1"/>
    <col min="10" max="10" width="13.6640625" bestFit="1" customWidth="1"/>
    <col min="11" max="11" width="11" bestFit="1" customWidth="1"/>
    <col min="12" max="12" width="14.6640625" customWidth="1"/>
    <col min="14" max="14" width="11.44140625" bestFit="1" customWidth="1"/>
    <col min="15" max="15" width="10.109375" bestFit="1" customWidth="1"/>
    <col min="16" max="16" width="20.44140625" bestFit="1" customWidth="1"/>
    <col min="17" max="17" width="19.44140625" bestFit="1" customWidth="1"/>
    <col min="18" max="18" width="17.6640625" bestFit="1" customWidth="1"/>
    <col min="19" max="19" width="23.88671875" bestFit="1" customWidth="1"/>
    <col min="20" max="20" width="16.6640625" bestFit="1" customWidth="1"/>
    <col min="21" max="21" width="22.88671875" bestFit="1" customWidth="1"/>
    <col min="22" max="22" width="23.5546875" bestFit="1" customWidth="1"/>
    <col min="23" max="23" width="22.44140625" bestFit="1" customWidth="1"/>
    <col min="25" max="25" width="16.109375" bestFit="1" customWidth="1"/>
    <col min="26" max="26" width="14.44140625" bestFit="1" customWidth="1"/>
    <col min="27" max="27" width="22.6640625" bestFit="1" customWidth="1"/>
    <col min="28" max="28" width="21.6640625" bestFit="1" customWidth="1"/>
    <col min="29" max="29" width="21.33203125" bestFit="1" customWidth="1"/>
    <col min="30" max="30" width="15" bestFit="1" customWidth="1"/>
    <col min="31" max="31" width="23" bestFit="1" customWidth="1"/>
    <col min="32" max="32" width="33.5546875" bestFit="1" customWidth="1"/>
    <col min="33" max="33" width="20.6640625" bestFit="1" customWidth="1"/>
    <col min="35" max="35" width="22.88671875" bestFit="1" customWidth="1"/>
    <col min="36" max="36" width="23.44140625" bestFit="1" customWidth="1"/>
    <col min="37" max="37" width="16" bestFit="1" customWidth="1"/>
    <col min="38" max="38" width="16.33203125" bestFit="1" customWidth="1"/>
    <col min="39" max="39" width="17.33203125" bestFit="1" customWidth="1"/>
    <col min="40" max="40" width="26.88671875" bestFit="1" customWidth="1"/>
    <col min="41" max="41" width="18.44140625" bestFit="1" customWidth="1"/>
    <col min="42" max="42" width="21.33203125" bestFit="1" customWidth="1"/>
    <col min="43" max="43" width="20.6640625" bestFit="1" customWidth="1"/>
  </cols>
  <sheetData>
    <row r="1" spans="1:44" x14ac:dyDescent="0.3">
      <c r="A1" s="34" t="s">
        <v>14</v>
      </c>
      <c r="B1" s="34" t="s">
        <v>15</v>
      </c>
      <c r="C1" s="34" t="s">
        <v>16</v>
      </c>
      <c r="D1" s="34" t="s">
        <v>17</v>
      </c>
      <c r="E1" s="34" t="s">
        <v>18</v>
      </c>
      <c r="F1" s="34" t="s">
        <v>19</v>
      </c>
      <c r="G1" s="35" t="s">
        <v>20</v>
      </c>
      <c r="H1" s="34" t="s">
        <v>21</v>
      </c>
      <c r="I1" s="34" t="s">
        <v>22</v>
      </c>
      <c r="J1" s="34" t="s">
        <v>23</v>
      </c>
      <c r="K1" s="34" t="s">
        <v>24</v>
      </c>
      <c r="L1" s="67" t="s">
        <v>195</v>
      </c>
      <c r="M1" s="34" t="s">
        <v>25</v>
      </c>
      <c r="N1" s="34" t="s">
        <v>26</v>
      </c>
      <c r="O1" s="34" t="s">
        <v>27</v>
      </c>
      <c r="P1" s="34" t="s">
        <v>28</v>
      </c>
      <c r="Q1" s="34" t="s">
        <v>29</v>
      </c>
      <c r="R1" s="34" t="s">
        <v>30</v>
      </c>
      <c r="S1" s="34" t="s">
        <v>31</v>
      </c>
      <c r="T1" s="34" t="s">
        <v>32</v>
      </c>
      <c r="U1" s="34" t="s">
        <v>33</v>
      </c>
      <c r="V1" s="34" t="s">
        <v>34</v>
      </c>
      <c r="W1" s="34" t="s">
        <v>35</v>
      </c>
      <c r="X1" s="34" t="s">
        <v>36</v>
      </c>
      <c r="Y1" s="34" t="s">
        <v>37</v>
      </c>
      <c r="Z1" s="34" t="s">
        <v>38</v>
      </c>
      <c r="AA1" s="34" t="s">
        <v>39</v>
      </c>
      <c r="AB1" s="34" t="s">
        <v>40</v>
      </c>
      <c r="AC1" s="34" t="s">
        <v>41</v>
      </c>
      <c r="AD1" s="34" t="s">
        <v>42</v>
      </c>
      <c r="AE1" s="34" t="s">
        <v>43</v>
      </c>
      <c r="AF1" s="34" t="s">
        <v>44</v>
      </c>
      <c r="AG1" s="34" t="s">
        <v>45</v>
      </c>
      <c r="AH1" s="34" t="s">
        <v>46</v>
      </c>
      <c r="AI1" s="34" t="s">
        <v>47</v>
      </c>
      <c r="AJ1" s="34" t="s">
        <v>48</v>
      </c>
      <c r="AK1" s="34" t="s">
        <v>49</v>
      </c>
      <c r="AL1" s="34" t="s">
        <v>50</v>
      </c>
      <c r="AM1" s="34" t="s">
        <v>109</v>
      </c>
      <c r="AN1" s="34" t="s">
        <v>110</v>
      </c>
      <c r="AO1" s="34" t="s">
        <v>108</v>
      </c>
      <c r="AP1" s="34" t="s">
        <v>111</v>
      </c>
      <c r="AQ1" s="34" t="s">
        <v>112</v>
      </c>
      <c r="AR1" s="34" t="s">
        <v>160</v>
      </c>
    </row>
    <row r="2" spans="1:44" x14ac:dyDescent="0.3">
      <c r="A2" s="33" t="s">
        <v>53</v>
      </c>
      <c r="B2" s="38" t="s">
        <v>171</v>
      </c>
      <c r="C2" s="21" t="s">
        <v>161</v>
      </c>
      <c r="D2" s="33" t="s">
        <v>133</v>
      </c>
      <c r="E2" s="33" t="s">
        <v>248</v>
      </c>
      <c r="F2" s="33" t="s">
        <v>54</v>
      </c>
      <c r="G2" s="39">
        <v>44342</v>
      </c>
      <c r="H2" s="33">
        <v>85</v>
      </c>
      <c r="I2" s="33">
        <v>20</v>
      </c>
      <c r="J2" s="33">
        <v>12</v>
      </c>
      <c r="K2" s="33">
        <v>2</v>
      </c>
      <c r="L2" s="33">
        <v>4830</v>
      </c>
      <c r="M2" s="33">
        <v>5</v>
      </c>
      <c r="N2" s="33">
        <v>34000000</v>
      </c>
      <c r="O2" s="33">
        <v>0</v>
      </c>
      <c r="P2" s="33">
        <v>2000000</v>
      </c>
      <c r="Q2" s="33">
        <v>0</v>
      </c>
      <c r="R2" s="33">
        <v>19000</v>
      </c>
      <c r="S2" s="40">
        <v>3.9337474120082816</v>
      </c>
      <c r="T2" s="33">
        <v>0</v>
      </c>
      <c r="U2" s="33">
        <v>0</v>
      </c>
      <c r="V2" s="33">
        <v>5000</v>
      </c>
      <c r="W2" s="33">
        <v>0</v>
      </c>
      <c r="X2" s="33">
        <v>46</v>
      </c>
      <c r="Y2" s="33">
        <v>30</v>
      </c>
      <c r="Z2" s="33">
        <v>11</v>
      </c>
      <c r="AA2" s="33">
        <v>1.4E-2</v>
      </c>
      <c r="AB2" s="33">
        <v>1.4E-2</v>
      </c>
      <c r="AC2" s="33">
        <v>7.4999999999999997E-2</v>
      </c>
      <c r="AD2" s="33">
        <v>0.125</v>
      </c>
      <c r="AE2" s="41">
        <v>79.400000000000006</v>
      </c>
      <c r="AF2" s="33">
        <v>0</v>
      </c>
      <c r="AG2" s="42">
        <v>49.9</v>
      </c>
      <c r="AH2" s="33">
        <v>0</v>
      </c>
      <c r="AI2" s="33">
        <v>75000</v>
      </c>
      <c r="AJ2" s="33">
        <v>0</v>
      </c>
      <c r="AK2" s="42">
        <v>0</v>
      </c>
      <c r="AL2" s="42">
        <v>0</v>
      </c>
      <c r="AM2" s="43">
        <v>1500</v>
      </c>
      <c r="AN2" s="43">
        <v>15</v>
      </c>
      <c r="AO2" s="33">
        <v>10</v>
      </c>
      <c r="AP2" s="44">
        <v>10</v>
      </c>
      <c r="AQ2" s="44">
        <v>10</v>
      </c>
      <c r="AR2" s="32">
        <v>1000</v>
      </c>
    </row>
    <row r="3" spans="1:44" x14ac:dyDescent="0.3">
      <c r="A3" s="45" t="s">
        <v>73</v>
      </c>
      <c r="B3" s="38" t="s">
        <v>175</v>
      </c>
      <c r="C3" s="21" t="s">
        <v>132</v>
      </c>
      <c r="D3" s="33" t="s">
        <v>133</v>
      </c>
      <c r="E3" s="33" t="s">
        <v>248</v>
      </c>
      <c r="F3" s="33" t="s">
        <v>52</v>
      </c>
      <c r="G3" s="39">
        <v>44342</v>
      </c>
      <c r="H3" s="33">
        <v>85</v>
      </c>
      <c r="I3" s="33">
        <v>20</v>
      </c>
      <c r="J3" s="33">
        <v>12</v>
      </c>
      <c r="K3" s="33">
        <v>1</v>
      </c>
      <c r="L3" s="33">
        <v>2415</v>
      </c>
      <c r="M3" s="33">
        <v>5</v>
      </c>
      <c r="N3" s="33">
        <v>16700000</v>
      </c>
      <c r="O3" s="33">
        <v>0</v>
      </c>
      <c r="P3" s="33">
        <v>0</v>
      </c>
      <c r="Q3" s="33">
        <v>0</v>
      </c>
      <c r="R3" s="33">
        <v>13158</v>
      </c>
      <c r="S3" s="40">
        <v>5.4484472049689439</v>
      </c>
      <c r="T3" s="33">
        <v>13158</v>
      </c>
      <c r="U3" s="40">
        <v>5.4484472049689439</v>
      </c>
      <c r="V3" s="33">
        <v>13158</v>
      </c>
      <c r="W3" s="33">
        <v>0</v>
      </c>
      <c r="X3" s="33">
        <v>33</v>
      </c>
      <c r="Y3" s="33">
        <v>30</v>
      </c>
      <c r="Z3" s="33">
        <v>15</v>
      </c>
      <c r="AA3" s="33">
        <v>2.5999999999999999E-2</v>
      </c>
      <c r="AB3" s="33">
        <v>0.01</v>
      </c>
      <c r="AC3" s="33">
        <v>6.3E-2</v>
      </c>
      <c r="AD3" s="33">
        <v>0.125</v>
      </c>
      <c r="AE3" s="41">
        <v>44.295999999999999</v>
      </c>
      <c r="AF3" s="33">
        <v>0</v>
      </c>
      <c r="AG3" s="42">
        <v>49.9</v>
      </c>
      <c r="AH3" s="33">
        <v>0</v>
      </c>
      <c r="AI3" s="33">
        <v>75000</v>
      </c>
      <c r="AJ3" s="33">
        <v>0.35</v>
      </c>
      <c r="AK3" s="42">
        <v>71</v>
      </c>
      <c r="AL3" s="42">
        <v>53</v>
      </c>
      <c r="AM3" s="43">
        <v>1500</v>
      </c>
      <c r="AN3" s="43">
        <v>15</v>
      </c>
      <c r="AO3" s="33">
        <v>10</v>
      </c>
      <c r="AP3" s="44">
        <v>10</v>
      </c>
      <c r="AQ3" s="44">
        <v>10</v>
      </c>
      <c r="AR3" s="32">
        <v>6842</v>
      </c>
    </row>
    <row r="4" spans="1:44" x14ac:dyDescent="0.3">
      <c r="A4" s="45" t="s">
        <v>68</v>
      </c>
      <c r="B4" s="45" t="s">
        <v>168</v>
      </c>
      <c r="C4" s="21" t="s">
        <v>131</v>
      </c>
      <c r="D4" s="33" t="s">
        <v>133</v>
      </c>
      <c r="E4" s="33" t="s">
        <v>248</v>
      </c>
      <c r="F4" s="33" t="s">
        <v>69</v>
      </c>
      <c r="G4" s="39">
        <v>44342</v>
      </c>
      <c r="H4" s="33">
        <v>75</v>
      </c>
      <c r="I4" s="33">
        <v>20</v>
      </c>
      <c r="J4" s="33">
        <v>12</v>
      </c>
      <c r="K4" s="33">
        <v>1</v>
      </c>
      <c r="L4" s="33">
        <v>2415</v>
      </c>
      <c r="M4" s="33">
        <v>5</v>
      </c>
      <c r="N4" s="33">
        <v>15670000</v>
      </c>
      <c r="O4" s="33">
        <v>0</v>
      </c>
      <c r="P4" s="33">
        <v>0</v>
      </c>
      <c r="Q4" s="33">
        <v>0</v>
      </c>
      <c r="R4" s="33">
        <v>11773</v>
      </c>
      <c r="S4" s="40">
        <v>4.8749482401656312</v>
      </c>
      <c r="T4" s="33">
        <v>11773</v>
      </c>
      <c r="U4" s="40">
        <v>4.8749482401656312</v>
      </c>
      <c r="V4" s="33">
        <v>11773</v>
      </c>
      <c r="W4" s="33">
        <v>0</v>
      </c>
      <c r="X4" s="33">
        <v>46</v>
      </c>
      <c r="Y4" s="33">
        <v>30</v>
      </c>
      <c r="Z4" s="33">
        <v>12</v>
      </c>
      <c r="AA4" s="33">
        <v>1.0999999999999999E-2</v>
      </c>
      <c r="AB4" s="33">
        <v>3.5000000000000003E-2</v>
      </c>
      <c r="AC4" s="33">
        <v>0.04</v>
      </c>
      <c r="AD4" s="33">
        <v>0.125</v>
      </c>
      <c r="AE4" s="41">
        <v>45.2</v>
      </c>
      <c r="AF4" s="33">
        <v>0</v>
      </c>
      <c r="AG4" s="42">
        <v>49.9</v>
      </c>
      <c r="AH4" s="33">
        <v>0</v>
      </c>
      <c r="AI4" s="33">
        <v>70000</v>
      </c>
      <c r="AJ4" s="33">
        <v>1</v>
      </c>
      <c r="AK4" s="42">
        <v>0</v>
      </c>
      <c r="AL4" s="42">
        <v>0</v>
      </c>
      <c r="AM4" s="43">
        <v>1500</v>
      </c>
      <c r="AN4" s="43">
        <v>15</v>
      </c>
      <c r="AO4" s="33">
        <v>10</v>
      </c>
      <c r="AP4" s="44">
        <v>10</v>
      </c>
      <c r="AQ4" s="44">
        <v>10</v>
      </c>
      <c r="AR4" s="32">
        <v>8227</v>
      </c>
    </row>
    <row r="5" spans="1:44" s="96" customFormat="1" x14ac:dyDescent="0.3">
      <c r="A5" s="87" t="s">
        <v>68</v>
      </c>
      <c r="B5" s="87" t="s">
        <v>166</v>
      </c>
      <c r="C5" s="98" t="s">
        <v>249</v>
      </c>
      <c r="D5" s="88" t="s">
        <v>133</v>
      </c>
      <c r="E5" s="98" t="s">
        <v>296</v>
      </c>
      <c r="F5" s="88" t="s">
        <v>69</v>
      </c>
      <c r="G5" s="89">
        <v>44342</v>
      </c>
      <c r="H5" s="88">
        <v>75</v>
      </c>
      <c r="I5" s="88">
        <v>18</v>
      </c>
      <c r="J5" s="88">
        <v>12</v>
      </c>
      <c r="K5" s="88">
        <v>1</v>
      </c>
      <c r="L5" s="88">
        <v>1863</v>
      </c>
      <c r="M5" s="88">
        <v>5</v>
      </c>
      <c r="N5" s="88">
        <v>13100000</v>
      </c>
      <c r="O5" s="88">
        <v>0</v>
      </c>
      <c r="P5" s="88">
        <v>0</v>
      </c>
      <c r="Q5" s="88">
        <v>0</v>
      </c>
      <c r="R5" s="88">
        <v>8500</v>
      </c>
      <c r="S5" s="90">
        <v>4.5625335480407943</v>
      </c>
      <c r="T5" s="88">
        <v>8500</v>
      </c>
      <c r="U5" s="90">
        <v>4.5625335480407943</v>
      </c>
      <c r="V5" s="88">
        <v>8500</v>
      </c>
      <c r="W5" s="88">
        <v>0</v>
      </c>
      <c r="X5" s="88">
        <v>46</v>
      </c>
      <c r="Y5" s="88">
        <v>30</v>
      </c>
      <c r="Z5" s="88">
        <v>12</v>
      </c>
      <c r="AA5" s="88">
        <v>1.0999999999999999E-2</v>
      </c>
      <c r="AB5" s="88">
        <v>3.5000000000000003E-2</v>
      </c>
      <c r="AC5" s="88">
        <v>0.04</v>
      </c>
      <c r="AD5" s="88">
        <v>0.125</v>
      </c>
      <c r="AE5" s="91">
        <v>45.2</v>
      </c>
      <c r="AF5" s="88">
        <v>0</v>
      </c>
      <c r="AG5" s="92">
        <v>49.9</v>
      </c>
      <c r="AH5" s="88">
        <v>0</v>
      </c>
      <c r="AI5" s="88">
        <v>70000</v>
      </c>
      <c r="AJ5" s="88">
        <v>0</v>
      </c>
      <c r="AK5" s="92">
        <v>0</v>
      </c>
      <c r="AL5" s="92">
        <v>0</v>
      </c>
      <c r="AM5" s="93">
        <v>1500</v>
      </c>
      <c r="AN5" s="93">
        <v>15</v>
      </c>
      <c r="AO5" s="88">
        <v>10</v>
      </c>
      <c r="AP5" s="94">
        <v>10</v>
      </c>
      <c r="AQ5" s="94">
        <v>10</v>
      </c>
      <c r="AR5" s="95">
        <v>11500</v>
      </c>
    </row>
    <row r="6" spans="1:44" s="96" customFormat="1" x14ac:dyDescent="0.3">
      <c r="A6" s="88" t="s">
        <v>66</v>
      </c>
      <c r="B6" s="97" t="s">
        <v>185</v>
      </c>
      <c r="C6" s="98" t="s">
        <v>250</v>
      </c>
      <c r="D6" s="88" t="s">
        <v>133</v>
      </c>
      <c r="E6" s="98" t="s">
        <v>296</v>
      </c>
      <c r="F6" s="88" t="s">
        <v>54</v>
      </c>
      <c r="G6" s="89">
        <v>44342</v>
      </c>
      <c r="H6" s="88">
        <v>80</v>
      </c>
      <c r="I6" s="88">
        <v>18</v>
      </c>
      <c r="J6" s="88">
        <v>12</v>
      </c>
      <c r="K6" s="88">
        <v>1</v>
      </c>
      <c r="L6" s="88">
        <v>1863</v>
      </c>
      <c r="M6" s="88">
        <v>5</v>
      </c>
      <c r="N6" s="88">
        <v>13100000</v>
      </c>
      <c r="O6" s="88">
        <v>0</v>
      </c>
      <c r="P6" s="88">
        <v>2000000</v>
      </c>
      <c r="Q6" s="88">
        <v>0</v>
      </c>
      <c r="R6" s="88">
        <v>8000</v>
      </c>
      <c r="S6" s="90">
        <v>4.294149221685454</v>
      </c>
      <c r="T6" s="88">
        <v>0</v>
      </c>
      <c r="U6" s="90">
        <v>0</v>
      </c>
      <c r="V6" s="88">
        <v>5000</v>
      </c>
      <c r="W6" s="88">
        <v>0</v>
      </c>
      <c r="X6" s="88">
        <v>46</v>
      </c>
      <c r="Y6" s="88">
        <v>30</v>
      </c>
      <c r="Z6" s="88">
        <v>16</v>
      </c>
      <c r="AA6" s="88">
        <v>1.2E-2</v>
      </c>
      <c r="AB6" s="88">
        <v>1.6E-2</v>
      </c>
      <c r="AC6" s="88">
        <v>4.2999999999999997E-2</v>
      </c>
      <c r="AD6" s="88">
        <v>0.125</v>
      </c>
      <c r="AE6" s="91">
        <v>79.400000000000006</v>
      </c>
      <c r="AF6" s="88">
        <v>0</v>
      </c>
      <c r="AG6" s="92">
        <v>49.9</v>
      </c>
      <c r="AH6" s="88">
        <v>0</v>
      </c>
      <c r="AI6" s="88">
        <v>75000</v>
      </c>
      <c r="AJ6" s="88">
        <v>0</v>
      </c>
      <c r="AK6" s="92">
        <v>0</v>
      </c>
      <c r="AL6" s="92">
        <v>0</v>
      </c>
      <c r="AM6" s="93">
        <v>1500</v>
      </c>
      <c r="AN6" s="93">
        <v>15</v>
      </c>
      <c r="AO6" s="88">
        <v>10</v>
      </c>
      <c r="AP6" s="94">
        <v>10</v>
      </c>
      <c r="AQ6" s="94">
        <v>10</v>
      </c>
      <c r="AR6" s="95">
        <v>12000</v>
      </c>
    </row>
    <row r="7" spans="1:44" x14ac:dyDescent="0.3">
      <c r="A7" s="33" t="s">
        <v>76</v>
      </c>
      <c r="B7" s="38" t="s">
        <v>190</v>
      </c>
      <c r="C7" s="21" t="s">
        <v>280</v>
      </c>
      <c r="D7" s="33" t="s">
        <v>133</v>
      </c>
      <c r="E7" s="21" t="s">
        <v>279</v>
      </c>
      <c r="F7" s="33" t="s">
        <v>54</v>
      </c>
      <c r="G7" s="39">
        <v>44342</v>
      </c>
      <c r="H7" s="33">
        <v>80</v>
      </c>
      <c r="I7" s="88">
        <v>18</v>
      </c>
      <c r="J7" s="33">
        <v>12</v>
      </c>
      <c r="K7" s="33">
        <v>1</v>
      </c>
      <c r="L7" s="33">
        <v>1863</v>
      </c>
      <c r="M7" s="33">
        <v>5</v>
      </c>
      <c r="N7" s="33">
        <v>5200000</v>
      </c>
      <c r="O7" s="33">
        <v>0</v>
      </c>
      <c r="P7" s="33">
        <v>0</v>
      </c>
      <c r="Q7" s="33">
        <v>0</v>
      </c>
      <c r="R7" s="33">
        <v>0</v>
      </c>
      <c r="S7" s="40">
        <v>0</v>
      </c>
      <c r="T7" s="33">
        <v>0</v>
      </c>
      <c r="U7" s="40">
        <v>0</v>
      </c>
      <c r="V7" s="33">
        <v>0</v>
      </c>
      <c r="W7" s="33">
        <v>0</v>
      </c>
      <c r="X7" s="33">
        <v>46</v>
      </c>
      <c r="Y7" s="33">
        <v>30</v>
      </c>
      <c r="Z7" s="33">
        <v>12</v>
      </c>
      <c r="AA7" s="33">
        <v>1.2E-2</v>
      </c>
      <c r="AB7" s="33">
        <v>1.6E-2</v>
      </c>
      <c r="AC7" s="33">
        <v>4.2999999999999997E-2</v>
      </c>
      <c r="AD7" s="33">
        <v>0.125</v>
      </c>
      <c r="AE7" s="41">
        <v>45.2</v>
      </c>
      <c r="AF7" s="33">
        <v>0</v>
      </c>
      <c r="AG7" s="42">
        <v>49.9</v>
      </c>
      <c r="AH7" s="33">
        <v>0</v>
      </c>
      <c r="AI7" s="33">
        <v>65000</v>
      </c>
      <c r="AJ7" s="33">
        <v>0</v>
      </c>
      <c r="AK7" s="42">
        <v>0</v>
      </c>
      <c r="AL7" s="42">
        <v>0</v>
      </c>
      <c r="AM7" s="43">
        <v>1500</v>
      </c>
      <c r="AN7" s="43">
        <v>15</v>
      </c>
      <c r="AO7" s="33">
        <v>10</v>
      </c>
      <c r="AP7" s="44">
        <v>10</v>
      </c>
      <c r="AQ7" s="44">
        <v>10</v>
      </c>
      <c r="AR7" s="32">
        <v>18000</v>
      </c>
    </row>
    <row r="8" spans="1:44" x14ac:dyDescent="0.3">
      <c r="A8" s="74" t="s">
        <v>76</v>
      </c>
      <c r="B8" s="75" t="s">
        <v>190</v>
      </c>
      <c r="C8" s="74" t="s">
        <v>281</v>
      </c>
      <c r="D8" s="74" t="s">
        <v>133</v>
      </c>
      <c r="E8" s="74" t="s">
        <v>303</v>
      </c>
      <c r="F8" s="74" t="s">
        <v>54</v>
      </c>
      <c r="G8" s="76">
        <v>44342</v>
      </c>
      <c r="H8" s="74">
        <v>80</v>
      </c>
      <c r="I8" s="74">
        <v>13.5</v>
      </c>
      <c r="J8" s="74">
        <v>12</v>
      </c>
      <c r="K8" s="74">
        <v>1</v>
      </c>
      <c r="L8" s="74">
        <v>1863</v>
      </c>
      <c r="M8" s="74">
        <v>5</v>
      </c>
      <c r="N8" s="74">
        <v>5200000</v>
      </c>
      <c r="O8" s="74">
        <v>0</v>
      </c>
      <c r="P8" s="74">
        <v>0</v>
      </c>
      <c r="Q8" s="74">
        <v>0</v>
      </c>
      <c r="R8" s="74">
        <v>0</v>
      </c>
      <c r="S8" s="77">
        <v>0</v>
      </c>
      <c r="T8" s="74">
        <v>0</v>
      </c>
      <c r="U8" s="74">
        <v>0</v>
      </c>
      <c r="V8" s="74">
        <v>0</v>
      </c>
      <c r="W8" s="33">
        <v>0</v>
      </c>
      <c r="X8" s="33">
        <v>46</v>
      </c>
      <c r="Y8" s="33">
        <v>30</v>
      </c>
      <c r="Z8" s="33">
        <v>12</v>
      </c>
      <c r="AA8" s="33">
        <v>1.2E-2</v>
      </c>
      <c r="AB8" s="33">
        <v>1.6E-2</v>
      </c>
      <c r="AC8" s="33">
        <v>4.2999999999999997E-2</v>
      </c>
      <c r="AD8" s="33">
        <v>0.125</v>
      </c>
      <c r="AE8" s="41">
        <v>45.2</v>
      </c>
      <c r="AF8" s="33">
        <v>0</v>
      </c>
      <c r="AG8" s="42">
        <v>49.9</v>
      </c>
      <c r="AH8" s="33">
        <v>0</v>
      </c>
      <c r="AI8" s="33">
        <v>65000</v>
      </c>
      <c r="AJ8" s="33">
        <v>0</v>
      </c>
      <c r="AK8" s="42">
        <v>0</v>
      </c>
      <c r="AL8" s="42">
        <v>0</v>
      </c>
      <c r="AM8" s="43">
        <v>1500</v>
      </c>
      <c r="AN8" s="43">
        <v>15</v>
      </c>
      <c r="AO8" s="33">
        <v>10</v>
      </c>
      <c r="AP8" s="44">
        <v>10</v>
      </c>
      <c r="AQ8" s="44">
        <v>10</v>
      </c>
      <c r="AR8" s="32">
        <v>18000</v>
      </c>
    </row>
    <row r="9" spans="1:44" s="86" customFormat="1" x14ac:dyDescent="0.3">
      <c r="A9" s="78" t="s">
        <v>76</v>
      </c>
      <c r="B9" s="79" t="s">
        <v>190</v>
      </c>
      <c r="C9" s="78" t="s">
        <v>282</v>
      </c>
      <c r="D9" s="78" t="s">
        <v>133</v>
      </c>
      <c r="E9" s="78" t="s">
        <v>279</v>
      </c>
      <c r="F9" s="78" t="s">
        <v>54</v>
      </c>
      <c r="G9" s="80">
        <v>44342</v>
      </c>
      <c r="H9" s="78">
        <v>80</v>
      </c>
      <c r="I9" s="88">
        <v>18</v>
      </c>
      <c r="J9" s="78">
        <v>12</v>
      </c>
      <c r="K9" s="78">
        <v>1</v>
      </c>
      <c r="L9" s="78">
        <v>1863</v>
      </c>
      <c r="M9" s="78">
        <v>5</v>
      </c>
      <c r="N9" s="78">
        <v>5200000</v>
      </c>
      <c r="O9" s="78">
        <v>0</v>
      </c>
      <c r="P9" s="78">
        <v>0</v>
      </c>
      <c r="Q9" s="78">
        <v>0</v>
      </c>
      <c r="R9" s="78">
        <v>0</v>
      </c>
      <c r="S9" s="81">
        <v>0</v>
      </c>
      <c r="T9" s="78">
        <v>0</v>
      </c>
      <c r="U9" s="81">
        <v>0</v>
      </c>
      <c r="V9" s="78">
        <v>0</v>
      </c>
      <c r="W9" s="78">
        <v>0</v>
      </c>
      <c r="X9" s="78">
        <v>46</v>
      </c>
      <c r="Y9" s="78">
        <v>30</v>
      </c>
      <c r="Z9" s="78">
        <v>12</v>
      </c>
      <c r="AA9" s="78">
        <v>1.2E-2</v>
      </c>
      <c r="AB9" s="78">
        <v>1.6E-2</v>
      </c>
      <c r="AC9" s="78">
        <v>4.2999999999999997E-2</v>
      </c>
      <c r="AD9" s="78">
        <v>0.125</v>
      </c>
      <c r="AE9" s="82">
        <v>45.2</v>
      </c>
      <c r="AF9" s="78">
        <v>0</v>
      </c>
      <c r="AG9" s="83">
        <v>49.9</v>
      </c>
      <c r="AH9" s="78">
        <v>0</v>
      </c>
      <c r="AI9" s="78">
        <v>65000</v>
      </c>
      <c r="AJ9" s="78">
        <v>0</v>
      </c>
      <c r="AK9" s="83">
        <v>0</v>
      </c>
      <c r="AL9" s="83">
        <v>0</v>
      </c>
      <c r="AM9" s="84">
        <v>1500</v>
      </c>
      <c r="AN9" s="84">
        <v>15</v>
      </c>
      <c r="AO9" s="78">
        <v>10</v>
      </c>
      <c r="AP9" s="85">
        <v>10</v>
      </c>
      <c r="AQ9" s="85">
        <v>10</v>
      </c>
      <c r="AR9" s="86">
        <v>18000</v>
      </c>
    </row>
    <row r="10" spans="1:44" x14ac:dyDescent="0.3">
      <c r="A10" s="45" t="s">
        <v>76</v>
      </c>
      <c r="B10" s="38" t="s">
        <v>190</v>
      </c>
      <c r="C10" s="21" t="s">
        <v>292</v>
      </c>
      <c r="D10" s="33" t="s">
        <v>133</v>
      </c>
      <c r="E10" s="21" t="s">
        <v>251</v>
      </c>
      <c r="F10" s="33" t="s">
        <v>54</v>
      </c>
      <c r="G10" s="39">
        <v>44342</v>
      </c>
      <c r="H10" s="33">
        <v>80</v>
      </c>
      <c r="I10" s="33">
        <v>20</v>
      </c>
      <c r="J10" s="33">
        <v>12</v>
      </c>
      <c r="K10" s="33">
        <v>1</v>
      </c>
      <c r="L10" s="33">
        <v>2622</v>
      </c>
      <c r="M10" s="33">
        <v>5</v>
      </c>
      <c r="N10" s="33">
        <v>7100000</v>
      </c>
      <c r="O10" s="33">
        <v>0</v>
      </c>
      <c r="P10" s="33">
        <v>0</v>
      </c>
      <c r="Q10" s="33">
        <v>0</v>
      </c>
      <c r="R10" s="33">
        <v>1000</v>
      </c>
      <c r="S10" s="40">
        <v>0.38138825324180015</v>
      </c>
      <c r="T10" s="33">
        <v>1000</v>
      </c>
      <c r="U10" s="40">
        <v>0.38138825324180015</v>
      </c>
      <c r="V10" s="33">
        <v>6000</v>
      </c>
      <c r="W10" s="33">
        <v>19000</v>
      </c>
      <c r="X10" s="33">
        <v>46</v>
      </c>
      <c r="Y10" s="33">
        <v>30</v>
      </c>
      <c r="Z10" s="33">
        <v>12</v>
      </c>
      <c r="AA10" s="33">
        <v>1.2E-2</v>
      </c>
      <c r="AB10" s="33">
        <v>1.6E-2</v>
      </c>
      <c r="AC10" s="33">
        <v>4.2999999999999997E-2</v>
      </c>
      <c r="AD10" s="33">
        <v>0.125</v>
      </c>
      <c r="AE10" s="41">
        <v>45.2</v>
      </c>
      <c r="AF10" s="33">
        <v>0</v>
      </c>
      <c r="AG10" s="42">
        <v>49.9</v>
      </c>
      <c r="AH10" s="33">
        <v>0</v>
      </c>
      <c r="AI10" s="33">
        <v>65000</v>
      </c>
      <c r="AJ10" s="33">
        <v>0</v>
      </c>
      <c r="AK10" s="42">
        <v>0</v>
      </c>
      <c r="AL10" s="42">
        <v>0</v>
      </c>
      <c r="AM10" s="43">
        <v>1500</v>
      </c>
      <c r="AN10" s="43">
        <v>15</v>
      </c>
      <c r="AO10" s="33">
        <v>10</v>
      </c>
      <c r="AP10" s="44">
        <v>10</v>
      </c>
      <c r="AQ10" s="44">
        <v>10</v>
      </c>
      <c r="AR10" s="32">
        <v>14000</v>
      </c>
    </row>
    <row r="11" spans="1:44" x14ac:dyDescent="0.3">
      <c r="A11" s="45" t="s">
        <v>53</v>
      </c>
      <c r="B11" s="73" t="s">
        <v>214</v>
      </c>
      <c r="C11" s="21" t="s">
        <v>291</v>
      </c>
      <c r="D11" s="33" t="s">
        <v>133</v>
      </c>
      <c r="E11" s="21" t="s">
        <v>251</v>
      </c>
      <c r="F11" s="33" t="s">
        <v>54</v>
      </c>
      <c r="G11" s="39">
        <v>44342</v>
      </c>
      <c r="H11" s="33">
        <v>85</v>
      </c>
      <c r="I11" s="33">
        <v>20</v>
      </c>
      <c r="J11" s="33">
        <v>12</v>
      </c>
      <c r="K11" s="33">
        <v>1</v>
      </c>
      <c r="L11" s="33">
        <v>1863</v>
      </c>
      <c r="M11" s="33">
        <v>5</v>
      </c>
      <c r="N11" s="33">
        <v>26900000</v>
      </c>
      <c r="O11" s="33">
        <v>0</v>
      </c>
      <c r="P11" s="33">
        <v>2000000</v>
      </c>
      <c r="Q11" s="33">
        <v>0</v>
      </c>
      <c r="R11" s="33">
        <v>14000</v>
      </c>
      <c r="S11" s="40">
        <v>7.5147611379495434</v>
      </c>
      <c r="T11" s="33">
        <v>0</v>
      </c>
      <c r="U11" s="40">
        <v>0</v>
      </c>
      <c r="V11" s="33">
        <v>5000</v>
      </c>
      <c r="W11" s="33">
        <v>0</v>
      </c>
      <c r="X11" s="33">
        <v>46</v>
      </c>
      <c r="Y11" s="33">
        <v>30</v>
      </c>
      <c r="Z11" s="33">
        <v>11</v>
      </c>
      <c r="AA11" s="33">
        <v>1.4E-2</v>
      </c>
      <c r="AB11" s="33">
        <v>1.4E-2</v>
      </c>
      <c r="AC11" s="33">
        <v>7.4999999999999997E-2</v>
      </c>
      <c r="AD11" s="33">
        <v>0.125</v>
      </c>
      <c r="AE11" s="41">
        <v>45.2</v>
      </c>
      <c r="AF11" s="33">
        <v>0</v>
      </c>
      <c r="AG11" s="42">
        <v>49.9</v>
      </c>
      <c r="AH11" s="33">
        <v>0</v>
      </c>
      <c r="AI11" s="33">
        <v>75000</v>
      </c>
      <c r="AJ11" s="33">
        <v>0</v>
      </c>
      <c r="AK11" s="42">
        <v>0</v>
      </c>
      <c r="AL11" s="42">
        <v>0</v>
      </c>
      <c r="AM11" s="43">
        <v>1500</v>
      </c>
      <c r="AN11" s="43">
        <v>15</v>
      </c>
      <c r="AO11" s="33">
        <v>10</v>
      </c>
      <c r="AP11" s="44">
        <v>10</v>
      </c>
      <c r="AQ11" s="44">
        <v>10</v>
      </c>
      <c r="AR11" s="32">
        <v>14000</v>
      </c>
    </row>
    <row r="12" spans="1:44" x14ac:dyDescent="0.3">
      <c r="A12" s="33" t="s">
        <v>53</v>
      </c>
      <c r="B12" s="38" t="s">
        <v>171</v>
      </c>
      <c r="C12" s="21" t="s">
        <v>113</v>
      </c>
      <c r="D12" s="33" t="s">
        <v>51</v>
      </c>
      <c r="E12" s="21" t="s">
        <v>252</v>
      </c>
      <c r="F12" s="33" t="s">
        <v>54</v>
      </c>
      <c r="G12" s="39">
        <v>44342</v>
      </c>
      <c r="H12" s="33">
        <v>85</v>
      </c>
      <c r="I12" s="33">
        <v>20</v>
      </c>
      <c r="J12" s="33">
        <v>12</v>
      </c>
      <c r="K12" s="33">
        <v>1</v>
      </c>
      <c r="L12" s="33">
        <v>2415</v>
      </c>
      <c r="M12" s="33">
        <v>5</v>
      </c>
      <c r="N12" s="33">
        <v>27300000</v>
      </c>
      <c r="O12" s="33">
        <v>0</v>
      </c>
      <c r="P12" s="33">
        <v>2000000</v>
      </c>
      <c r="Q12" s="33">
        <v>0</v>
      </c>
      <c r="R12" s="33">
        <v>13704</v>
      </c>
      <c r="S12" s="40">
        <v>5.6745341614906835</v>
      </c>
      <c r="T12" s="33">
        <v>0</v>
      </c>
      <c r="U12" s="40">
        <v>0</v>
      </c>
      <c r="V12" s="33">
        <v>5000</v>
      </c>
      <c r="W12" s="33">
        <v>0</v>
      </c>
      <c r="X12" s="33">
        <v>46</v>
      </c>
      <c r="Y12" s="33">
        <v>30</v>
      </c>
      <c r="Z12" s="33">
        <v>11</v>
      </c>
      <c r="AA12" s="33">
        <v>5.8000000000000003E-2</v>
      </c>
      <c r="AB12" s="33">
        <v>5.5E-2</v>
      </c>
      <c r="AC12" s="33">
        <v>0.02</v>
      </c>
      <c r="AD12" s="33">
        <v>0.125</v>
      </c>
      <c r="AE12" s="41">
        <v>45.2</v>
      </c>
      <c r="AF12" s="33">
        <v>0</v>
      </c>
      <c r="AG12" s="42">
        <v>49.9</v>
      </c>
      <c r="AH12" s="33">
        <v>0</v>
      </c>
      <c r="AI12" s="33">
        <v>75000</v>
      </c>
      <c r="AJ12" s="33">
        <v>0</v>
      </c>
      <c r="AK12" s="42">
        <v>0</v>
      </c>
      <c r="AL12" s="42">
        <v>0</v>
      </c>
      <c r="AM12" s="43">
        <v>1500</v>
      </c>
      <c r="AN12" s="43">
        <v>15</v>
      </c>
      <c r="AO12" s="33">
        <v>10</v>
      </c>
      <c r="AP12" s="44">
        <v>10</v>
      </c>
      <c r="AQ12" s="44">
        <v>10</v>
      </c>
      <c r="AR12" s="32">
        <v>6296</v>
      </c>
    </row>
    <row r="13" spans="1:44" x14ac:dyDescent="0.3">
      <c r="A13" s="45" t="s">
        <v>53</v>
      </c>
      <c r="B13" s="45" t="s">
        <v>171</v>
      </c>
      <c r="C13" s="21" t="s">
        <v>283</v>
      </c>
      <c r="D13" s="33" t="s">
        <v>133</v>
      </c>
      <c r="E13" s="21" t="s">
        <v>279</v>
      </c>
      <c r="F13" s="33" t="s">
        <v>54</v>
      </c>
      <c r="G13" s="39">
        <v>44342</v>
      </c>
      <c r="H13" s="33">
        <v>85</v>
      </c>
      <c r="I13" s="88">
        <v>18</v>
      </c>
      <c r="J13" s="33">
        <v>12</v>
      </c>
      <c r="K13" s="33">
        <v>1</v>
      </c>
      <c r="L13" s="33">
        <v>1863</v>
      </c>
      <c r="M13" s="33">
        <v>5</v>
      </c>
      <c r="N13" s="33">
        <v>26900000</v>
      </c>
      <c r="O13" s="33">
        <v>0</v>
      </c>
      <c r="P13" s="33">
        <v>2000000</v>
      </c>
      <c r="Q13" s="33">
        <v>0</v>
      </c>
      <c r="R13" s="33">
        <v>14000</v>
      </c>
      <c r="S13" s="40">
        <v>7.5147611379495434</v>
      </c>
      <c r="T13" s="33">
        <v>0</v>
      </c>
      <c r="U13" s="40">
        <v>0</v>
      </c>
      <c r="V13" s="33">
        <v>5000</v>
      </c>
      <c r="W13" s="33">
        <v>0</v>
      </c>
      <c r="X13" s="33">
        <v>46</v>
      </c>
      <c r="Y13" s="33">
        <v>30</v>
      </c>
      <c r="Z13" s="33">
        <v>11</v>
      </c>
      <c r="AA13" s="33">
        <v>5.8000000000000003E-2</v>
      </c>
      <c r="AB13" s="33">
        <v>5.5E-2</v>
      </c>
      <c r="AC13" s="33">
        <v>0.02</v>
      </c>
      <c r="AD13" s="33">
        <v>0.125</v>
      </c>
      <c r="AE13" s="41">
        <v>45.2</v>
      </c>
      <c r="AF13" s="33">
        <v>0</v>
      </c>
      <c r="AG13" s="42">
        <v>49.9</v>
      </c>
      <c r="AH13" s="33">
        <v>0</v>
      </c>
      <c r="AI13" s="33">
        <v>75000</v>
      </c>
      <c r="AJ13" s="33">
        <v>0</v>
      </c>
      <c r="AK13" s="42">
        <v>0</v>
      </c>
      <c r="AL13" s="42">
        <v>0</v>
      </c>
      <c r="AM13" s="43">
        <v>1500</v>
      </c>
      <c r="AN13" s="43">
        <v>15</v>
      </c>
      <c r="AO13" s="33">
        <v>10</v>
      </c>
      <c r="AP13" s="44">
        <v>10</v>
      </c>
      <c r="AQ13" s="44">
        <v>10</v>
      </c>
      <c r="AR13" s="32">
        <v>6000</v>
      </c>
    </row>
    <row r="14" spans="1:44" x14ac:dyDescent="0.3">
      <c r="A14" s="33" t="s">
        <v>53</v>
      </c>
      <c r="B14" s="38" t="s">
        <v>171</v>
      </c>
      <c r="C14" s="21" t="s">
        <v>290</v>
      </c>
      <c r="D14" s="33" t="s">
        <v>133</v>
      </c>
      <c r="E14" s="21" t="s">
        <v>251</v>
      </c>
      <c r="F14" s="33" t="s">
        <v>54</v>
      </c>
      <c r="G14" s="39">
        <v>44342</v>
      </c>
      <c r="H14" s="33">
        <v>85</v>
      </c>
      <c r="I14" s="33">
        <v>20</v>
      </c>
      <c r="J14" s="33">
        <v>12</v>
      </c>
      <c r="K14" s="33">
        <v>1</v>
      </c>
      <c r="L14" s="33">
        <v>1863</v>
      </c>
      <c r="M14" s="33">
        <v>5</v>
      </c>
      <c r="N14" s="33">
        <v>26900000</v>
      </c>
      <c r="O14" s="33">
        <v>0</v>
      </c>
      <c r="P14" s="33">
        <v>2000000</v>
      </c>
      <c r="Q14" s="33">
        <v>0</v>
      </c>
      <c r="R14" s="33">
        <v>14000</v>
      </c>
      <c r="S14" s="40">
        <v>7.5147611379495434</v>
      </c>
      <c r="T14" s="33">
        <v>0</v>
      </c>
      <c r="U14" s="40">
        <v>0</v>
      </c>
      <c r="V14" s="33">
        <v>5000</v>
      </c>
      <c r="W14" s="33">
        <v>0</v>
      </c>
      <c r="X14" s="33">
        <v>46</v>
      </c>
      <c r="Y14" s="33">
        <v>30</v>
      </c>
      <c r="Z14" s="33">
        <v>11</v>
      </c>
      <c r="AA14" s="33">
        <v>1.4E-2</v>
      </c>
      <c r="AB14" s="33">
        <v>1.4E-2</v>
      </c>
      <c r="AC14" s="33">
        <v>7.4999999999999997E-2</v>
      </c>
      <c r="AD14" s="33">
        <v>0.125</v>
      </c>
      <c r="AE14" s="41">
        <v>45.2</v>
      </c>
      <c r="AF14" s="33">
        <v>0</v>
      </c>
      <c r="AG14" s="42">
        <v>49.9</v>
      </c>
      <c r="AH14" s="33">
        <v>0</v>
      </c>
      <c r="AI14" s="33">
        <v>75000</v>
      </c>
      <c r="AJ14" s="33">
        <v>0</v>
      </c>
      <c r="AK14" s="42">
        <v>0</v>
      </c>
      <c r="AL14" s="42">
        <v>0</v>
      </c>
      <c r="AM14" s="43">
        <v>1500</v>
      </c>
      <c r="AN14" s="43">
        <v>15</v>
      </c>
      <c r="AO14" s="33">
        <v>10</v>
      </c>
      <c r="AP14" s="44">
        <v>10</v>
      </c>
      <c r="AQ14" s="44">
        <v>10</v>
      </c>
      <c r="AR14" s="32">
        <v>14000</v>
      </c>
    </row>
    <row r="15" spans="1:44" s="96" customFormat="1" x14ac:dyDescent="0.3">
      <c r="A15" s="109" t="s">
        <v>53</v>
      </c>
      <c r="B15" s="126" t="s">
        <v>210</v>
      </c>
      <c r="C15" s="127" t="s">
        <v>253</v>
      </c>
      <c r="D15" s="109" t="s">
        <v>133</v>
      </c>
      <c r="E15" s="109" t="s">
        <v>299</v>
      </c>
      <c r="F15" s="109" t="s">
        <v>54</v>
      </c>
      <c r="G15" s="111">
        <v>44342</v>
      </c>
      <c r="H15" s="109">
        <v>85</v>
      </c>
      <c r="I15" s="33">
        <v>20</v>
      </c>
      <c r="J15" s="109">
        <v>12</v>
      </c>
      <c r="K15" s="109">
        <v>1</v>
      </c>
      <c r="L15" s="109">
        <v>2415</v>
      </c>
      <c r="M15" s="109">
        <v>5</v>
      </c>
      <c r="N15" s="109">
        <v>22500000</v>
      </c>
      <c r="O15" s="109">
        <v>0</v>
      </c>
      <c r="P15" s="109">
        <v>1500000</v>
      </c>
      <c r="Q15" s="109">
        <v>0</v>
      </c>
      <c r="R15" s="109">
        <v>12849</v>
      </c>
      <c r="S15" s="112">
        <v>5.3204968944099376</v>
      </c>
      <c r="T15" s="109">
        <v>0</v>
      </c>
      <c r="U15" s="112">
        <v>0</v>
      </c>
      <c r="V15" s="109">
        <v>5000</v>
      </c>
      <c r="W15" s="109">
        <v>0</v>
      </c>
      <c r="X15" s="109">
        <v>46</v>
      </c>
      <c r="Y15" s="109">
        <v>30</v>
      </c>
      <c r="Z15" s="109">
        <v>11</v>
      </c>
      <c r="AA15" s="109">
        <v>5.8000000000000003E-2</v>
      </c>
      <c r="AB15" s="109">
        <v>5.5E-2</v>
      </c>
      <c r="AC15" s="109">
        <v>0.02</v>
      </c>
      <c r="AD15" s="109">
        <v>0.125</v>
      </c>
      <c r="AE15" s="113">
        <v>45.2</v>
      </c>
      <c r="AF15" s="109">
        <v>0</v>
      </c>
      <c r="AG15" s="114">
        <v>49.9</v>
      </c>
      <c r="AH15" s="109">
        <v>0</v>
      </c>
      <c r="AI15" s="109">
        <v>75000</v>
      </c>
      <c r="AJ15" s="109">
        <v>0</v>
      </c>
      <c r="AK15" s="114">
        <v>0</v>
      </c>
      <c r="AL15" s="114">
        <v>0</v>
      </c>
      <c r="AM15" s="115">
        <v>1500</v>
      </c>
      <c r="AN15" s="115">
        <v>15</v>
      </c>
      <c r="AO15" s="109">
        <v>10</v>
      </c>
      <c r="AP15" s="116">
        <v>10</v>
      </c>
      <c r="AQ15" s="116">
        <v>10</v>
      </c>
      <c r="AR15" s="117">
        <v>7151</v>
      </c>
    </row>
    <row r="16" spans="1:44" s="96" customFormat="1" x14ac:dyDescent="0.3">
      <c r="A16" s="88" t="s">
        <v>73</v>
      </c>
      <c r="B16" s="97" t="s">
        <v>177</v>
      </c>
      <c r="C16" s="98" t="s">
        <v>254</v>
      </c>
      <c r="D16" s="88" t="s">
        <v>133</v>
      </c>
      <c r="E16" s="109" t="s">
        <v>299</v>
      </c>
      <c r="F16" s="88" t="s">
        <v>52</v>
      </c>
      <c r="G16" s="89">
        <v>44342</v>
      </c>
      <c r="H16" s="88">
        <v>85</v>
      </c>
      <c r="I16" s="33">
        <v>20</v>
      </c>
      <c r="J16" s="88">
        <v>12</v>
      </c>
      <c r="K16" s="88">
        <v>1</v>
      </c>
      <c r="L16" s="88">
        <v>1863</v>
      </c>
      <c r="M16" s="88">
        <v>5</v>
      </c>
      <c r="N16" s="88">
        <v>16200000</v>
      </c>
      <c r="O16" s="88">
        <v>0</v>
      </c>
      <c r="P16" s="88">
        <v>0</v>
      </c>
      <c r="Q16" s="88">
        <v>0</v>
      </c>
      <c r="R16" s="88">
        <v>16300</v>
      </c>
      <c r="S16" s="90">
        <v>8.7493290391841114</v>
      </c>
      <c r="T16" s="88">
        <v>16300</v>
      </c>
      <c r="U16" s="90">
        <v>8.7493290391841114</v>
      </c>
      <c r="V16" s="88">
        <v>16300</v>
      </c>
      <c r="W16" s="88">
        <v>0</v>
      </c>
      <c r="X16" s="88">
        <v>33</v>
      </c>
      <c r="Y16" s="88">
        <v>30</v>
      </c>
      <c r="Z16" s="88">
        <v>15</v>
      </c>
      <c r="AA16" s="88">
        <v>2.5999999999999999E-2</v>
      </c>
      <c r="AB16" s="88">
        <v>0.01</v>
      </c>
      <c r="AC16" s="88">
        <v>6.3E-2</v>
      </c>
      <c r="AD16" s="88">
        <v>0.125</v>
      </c>
      <c r="AE16" s="91">
        <v>45.2</v>
      </c>
      <c r="AF16" s="88">
        <v>0</v>
      </c>
      <c r="AG16" s="92">
        <v>49.9</v>
      </c>
      <c r="AH16" s="88">
        <v>0</v>
      </c>
      <c r="AI16" s="88">
        <v>75000</v>
      </c>
      <c r="AJ16" s="88">
        <v>0.35</v>
      </c>
      <c r="AK16" s="92">
        <v>71</v>
      </c>
      <c r="AL16" s="92">
        <v>53</v>
      </c>
      <c r="AM16" s="93">
        <v>1500</v>
      </c>
      <c r="AN16" s="93">
        <v>15</v>
      </c>
      <c r="AO16" s="88">
        <v>10</v>
      </c>
      <c r="AP16" s="94">
        <v>10</v>
      </c>
      <c r="AQ16" s="94">
        <v>10</v>
      </c>
      <c r="AR16" s="95">
        <v>3700</v>
      </c>
    </row>
    <row r="17" spans="1:44" s="96" customFormat="1" x14ac:dyDescent="0.3">
      <c r="A17" s="109" t="s">
        <v>53</v>
      </c>
      <c r="B17" s="128" t="s">
        <v>214</v>
      </c>
      <c r="C17" s="127" t="s">
        <v>115</v>
      </c>
      <c r="D17" s="109" t="s">
        <v>133</v>
      </c>
      <c r="E17" s="109" t="s">
        <v>299</v>
      </c>
      <c r="F17" s="109" t="s">
        <v>54</v>
      </c>
      <c r="G17" s="111">
        <v>44342</v>
      </c>
      <c r="H17" s="109">
        <v>85</v>
      </c>
      <c r="I17" s="33">
        <v>20</v>
      </c>
      <c r="J17" s="109">
        <v>12</v>
      </c>
      <c r="K17" s="109">
        <v>1</v>
      </c>
      <c r="L17" s="109">
        <v>2415</v>
      </c>
      <c r="M17" s="109">
        <v>5</v>
      </c>
      <c r="N17" s="109">
        <v>45000000</v>
      </c>
      <c r="O17" s="109">
        <v>0</v>
      </c>
      <c r="P17" s="109">
        <v>2000000</v>
      </c>
      <c r="Q17" s="109">
        <v>0</v>
      </c>
      <c r="R17" s="109">
        <v>19000</v>
      </c>
      <c r="S17" s="112">
        <v>7.8674948240165632</v>
      </c>
      <c r="T17" s="109">
        <v>0</v>
      </c>
      <c r="U17" s="112">
        <v>0</v>
      </c>
      <c r="V17" s="109">
        <v>5000</v>
      </c>
      <c r="W17" s="109">
        <v>0</v>
      </c>
      <c r="X17" s="109">
        <v>46</v>
      </c>
      <c r="Y17" s="109">
        <v>30</v>
      </c>
      <c r="Z17" s="109">
        <v>16</v>
      </c>
      <c r="AA17" s="109">
        <v>1.4E-2</v>
      </c>
      <c r="AB17" s="109">
        <v>1.4E-2</v>
      </c>
      <c r="AC17" s="109">
        <v>7.4999999999999997E-2</v>
      </c>
      <c r="AD17" s="109">
        <v>0.125</v>
      </c>
      <c r="AE17" s="113">
        <v>45.2</v>
      </c>
      <c r="AF17" s="109">
        <v>0</v>
      </c>
      <c r="AG17" s="114">
        <v>49.9</v>
      </c>
      <c r="AH17" s="109">
        <v>0</v>
      </c>
      <c r="AI17" s="109">
        <v>75000</v>
      </c>
      <c r="AJ17" s="109">
        <v>0</v>
      </c>
      <c r="AK17" s="114">
        <v>0</v>
      </c>
      <c r="AL17" s="114">
        <v>0</v>
      </c>
      <c r="AM17" s="115">
        <v>1500</v>
      </c>
      <c r="AN17" s="115">
        <v>15</v>
      </c>
      <c r="AO17" s="109">
        <v>10</v>
      </c>
      <c r="AP17" s="116">
        <v>10</v>
      </c>
      <c r="AQ17" s="116">
        <v>10</v>
      </c>
      <c r="AR17" s="117">
        <v>1000</v>
      </c>
    </row>
    <row r="18" spans="1:44" s="96" customFormat="1" x14ac:dyDescent="0.3">
      <c r="A18" s="129" t="s">
        <v>73</v>
      </c>
      <c r="B18" s="126" t="s">
        <v>177</v>
      </c>
      <c r="C18" s="127" t="s">
        <v>163</v>
      </c>
      <c r="D18" s="109" t="s">
        <v>133</v>
      </c>
      <c r="E18" s="109" t="s">
        <v>299</v>
      </c>
      <c r="F18" s="109" t="s">
        <v>52</v>
      </c>
      <c r="G18" s="111">
        <v>44342</v>
      </c>
      <c r="H18" s="109">
        <v>85</v>
      </c>
      <c r="I18" s="33">
        <v>20</v>
      </c>
      <c r="J18" s="109">
        <v>12</v>
      </c>
      <c r="K18" s="109">
        <v>1</v>
      </c>
      <c r="L18" s="109">
        <v>2415</v>
      </c>
      <c r="M18" s="109">
        <v>5</v>
      </c>
      <c r="N18" s="109">
        <v>10400000</v>
      </c>
      <c r="O18" s="109">
        <v>0</v>
      </c>
      <c r="P18" s="109">
        <v>0</v>
      </c>
      <c r="Q18" s="109">
        <v>0</v>
      </c>
      <c r="R18" s="109">
        <v>3388</v>
      </c>
      <c r="S18" s="112">
        <v>1.4028985507246376</v>
      </c>
      <c r="T18" s="109">
        <v>3388</v>
      </c>
      <c r="U18" s="112">
        <v>1.4028985507246376</v>
      </c>
      <c r="V18" s="109">
        <v>3388</v>
      </c>
      <c r="W18" s="109">
        <v>0</v>
      </c>
      <c r="X18" s="109">
        <v>33</v>
      </c>
      <c r="Y18" s="109">
        <v>30</v>
      </c>
      <c r="Z18" s="109">
        <v>15</v>
      </c>
      <c r="AA18" s="109">
        <v>2.5999999999999999E-2</v>
      </c>
      <c r="AB18" s="109">
        <v>0.01</v>
      </c>
      <c r="AC18" s="109">
        <v>6.3E-2</v>
      </c>
      <c r="AD18" s="109">
        <v>0.125</v>
      </c>
      <c r="AE18" s="113">
        <v>45.2</v>
      </c>
      <c r="AF18" s="109">
        <v>0</v>
      </c>
      <c r="AG18" s="114">
        <v>49.9</v>
      </c>
      <c r="AH18" s="109">
        <v>0</v>
      </c>
      <c r="AI18" s="109">
        <v>75000</v>
      </c>
      <c r="AJ18" s="109">
        <v>0.35</v>
      </c>
      <c r="AK18" s="114">
        <v>71</v>
      </c>
      <c r="AL18" s="114">
        <v>53</v>
      </c>
      <c r="AM18" s="115">
        <v>1500</v>
      </c>
      <c r="AN18" s="115">
        <v>15</v>
      </c>
      <c r="AO18" s="109">
        <v>10</v>
      </c>
      <c r="AP18" s="116">
        <v>10</v>
      </c>
      <c r="AQ18" s="116">
        <v>10</v>
      </c>
      <c r="AR18" s="117">
        <v>16612</v>
      </c>
    </row>
    <row r="19" spans="1:44" s="139" customFormat="1" x14ac:dyDescent="0.3">
      <c r="A19" s="130" t="s">
        <v>73</v>
      </c>
      <c r="B19" s="131" t="s">
        <v>204</v>
      </c>
      <c r="C19" s="132" t="s">
        <v>255</v>
      </c>
      <c r="D19" s="132" t="s">
        <v>133</v>
      </c>
      <c r="E19" s="132" t="s">
        <v>302</v>
      </c>
      <c r="F19" s="132" t="s">
        <v>52</v>
      </c>
      <c r="G19" s="133">
        <v>44342</v>
      </c>
      <c r="H19" s="132">
        <v>85</v>
      </c>
      <c r="I19" s="132">
        <v>17.5</v>
      </c>
      <c r="J19" s="132">
        <v>12</v>
      </c>
      <c r="K19" s="132">
        <v>1</v>
      </c>
      <c r="L19" s="132">
        <v>2415</v>
      </c>
      <c r="M19" s="132">
        <v>5</v>
      </c>
      <c r="N19" s="132">
        <v>13700000</v>
      </c>
      <c r="O19" s="132">
        <v>0</v>
      </c>
      <c r="P19" s="132">
        <v>0</v>
      </c>
      <c r="Q19" s="132">
        <v>0</v>
      </c>
      <c r="R19" s="132">
        <v>19000</v>
      </c>
      <c r="S19" s="134">
        <v>7.8674948240165632</v>
      </c>
      <c r="T19" s="132">
        <v>19000</v>
      </c>
      <c r="U19" s="134">
        <v>7.8674948240165632</v>
      </c>
      <c r="V19" s="132">
        <v>19000</v>
      </c>
      <c r="W19" s="132">
        <v>0</v>
      </c>
      <c r="X19" s="132">
        <v>33</v>
      </c>
      <c r="Y19" s="132">
        <v>30</v>
      </c>
      <c r="Z19" s="132">
        <v>15</v>
      </c>
      <c r="AA19" s="132">
        <v>2.5999999999999999E-2</v>
      </c>
      <c r="AB19" s="132">
        <v>0.01</v>
      </c>
      <c r="AC19" s="132">
        <v>6.3E-2</v>
      </c>
      <c r="AD19" s="132">
        <v>0.125</v>
      </c>
      <c r="AE19" s="135">
        <v>45.2</v>
      </c>
      <c r="AF19" s="132">
        <v>0</v>
      </c>
      <c r="AG19" s="136">
        <v>49.9</v>
      </c>
      <c r="AH19" s="132">
        <v>0</v>
      </c>
      <c r="AI19" s="132">
        <v>75000</v>
      </c>
      <c r="AJ19" s="132">
        <v>0.35</v>
      </c>
      <c r="AK19" s="136">
        <v>71</v>
      </c>
      <c r="AL19" s="136">
        <v>53</v>
      </c>
      <c r="AM19" s="137">
        <v>1500</v>
      </c>
      <c r="AN19" s="137">
        <v>15</v>
      </c>
      <c r="AO19" s="132">
        <v>10</v>
      </c>
      <c r="AP19" s="138">
        <v>10</v>
      </c>
      <c r="AQ19" s="138">
        <v>10</v>
      </c>
      <c r="AR19" s="139">
        <v>1000</v>
      </c>
    </row>
    <row r="20" spans="1:44" s="139" customFormat="1" x14ac:dyDescent="0.3">
      <c r="A20" s="130" t="s">
        <v>73</v>
      </c>
      <c r="B20" s="130" t="s">
        <v>175</v>
      </c>
      <c r="C20" s="132" t="s">
        <v>256</v>
      </c>
      <c r="D20" s="132" t="s">
        <v>133</v>
      </c>
      <c r="E20" s="132" t="s">
        <v>297</v>
      </c>
      <c r="F20" s="132" t="s">
        <v>52</v>
      </c>
      <c r="G20" s="133">
        <v>44342</v>
      </c>
      <c r="H20" s="132">
        <v>85</v>
      </c>
      <c r="I20" s="132">
        <v>13.5</v>
      </c>
      <c r="J20" s="132">
        <v>12</v>
      </c>
      <c r="K20" s="132">
        <v>1</v>
      </c>
      <c r="L20" s="132">
        <v>2898</v>
      </c>
      <c r="M20" s="132">
        <v>5</v>
      </c>
      <c r="N20" s="132">
        <v>13700000</v>
      </c>
      <c r="O20" s="132">
        <v>0</v>
      </c>
      <c r="P20" s="132">
        <v>0</v>
      </c>
      <c r="Q20" s="132">
        <v>0</v>
      </c>
      <c r="R20" s="132">
        <v>19000</v>
      </c>
      <c r="S20" s="134">
        <v>6.5562456866804695</v>
      </c>
      <c r="T20" s="132">
        <v>19000</v>
      </c>
      <c r="U20" s="132">
        <v>6.5562456866804695</v>
      </c>
      <c r="V20" s="132">
        <v>19000</v>
      </c>
      <c r="W20" s="132">
        <v>0</v>
      </c>
      <c r="X20" s="132">
        <v>33</v>
      </c>
      <c r="Y20" s="132">
        <v>30</v>
      </c>
      <c r="Z20" s="132">
        <v>15</v>
      </c>
      <c r="AA20" s="132">
        <v>2.5999999999999999E-2</v>
      </c>
      <c r="AB20" s="132">
        <v>0.01</v>
      </c>
      <c r="AC20" s="132">
        <v>6.3E-2</v>
      </c>
      <c r="AD20" s="132">
        <v>0.125</v>
      </c>
      <c r="AE20" s="135">
        <v>45.2</v>
      </c>
      <c r="AF20" s="132">
        <v>0</v>
      </c>
      <c r="AG20" s="136">
        <v>49.9</v>
      </c>
      <c r="AH20" s="132">
        <v>0</v>
      </c>
      <c r="AI20" s="132">
        <v>75000</v>
      </c>
      <c r="AJ20" s="132">
        <v>0.35</v>
      </c>
      <c r="AK20" s="136">
        <v>71</v>
      </c>
      <c r="AL20" s="136">
        <v>53</v>
      </c>
      <c r="AM20" s="137">
        <v>1500</v>
      </c>
      <c r="AN20" s="137">
        <v>15</v>
      </c>
      <c r="AO20" s="132">
        <v>10</v>
      </c>
      <c r="AP20" s="138">
        <v>10</v>
      </c>
      <c r="AQ20" s="138">
        <v>10</v>
      </c>
      <c r="AR20" s="139">
        <v>1000</v>
      </c>
    </row>
    <row r="21" spans="1:44" s="139" customFormat="1" x14ac:dyDescent="0.3">
      <c r="A21" s="130" t="s">
        <v>53</v>
      </c>
      <c r="B21" s="130" t="s">
        <v>171</v>
      </c>
      <c r="C21" s="132" t="s">
        <v>257</v>
      </c>
      <c r="D21" s="132" t="s">
        <v>133</v>
      </c>
      <c r="E21" s="132" t="s">
        <v>297</v>
      </c>
      <c r="F21" s="132" t="s">
        <v>54</v>
      </c>
      <c r="G21" s="133">
        <v>44342</v>
      </c>
      <c r="H21" s="132">
        <v>85</v>
      </c>
      <c r="I21" s="132">
        <v>13.5</v>
      </c>
      <c r="J21" s="132">
        <v>12</v>
      </c>
      <c r="K21" s="132">
        <v>1</v>
      </c>
      <c r="L21" s="132">
        <v>2898</v>
      </c>
      <c r="M21" s="132">
        <v>5</v>
      </c>
      <c r="N21" s="132">
        <v>22500000</v>
      </c>
      <c r="O21" s="132">
        <v>0</v>
      </c>
      <c r="P21" s="132">
        <v>1500000</v>
      </c>
      <c r="Q21" s="132">
        <v>0</v>
      </c>
      <c r="R21" s="132">
        <v>12849</v>
      </c>
      <c r="S21" s="134">
        <v>4.4337474120082812</v>
      </c>
      <c r="T21" s="132">
        <v>0</v>
      </c>
      <c r="U21" s="132">
        <v>0</v>
      </c>
      <c r="V21" s="132">
        <v>5000</v>
      </c>
      <c r="W21" s="132">
        <v>0</v>
      </c>
      <c r="X21" s="132">
        <v>46</v>
      </c>
      <c r="Y21" s="132">
        <v>30</v>
      </c>
      <c r="Z21" s="132">
        <v>11</v>
      </c>
      <c r="AA21" s="132">
        <v>5.8000000000000003E-2</v>
      </c>
      <c r="AB21" s="132">
        <v>5.5E-2</v>
      </c>
      <c r="AC21" s="132">
        <v>0.02</v>
      </c>
      <c r="AD21" s="132">
        <v>0.125</v>
      </c>
      <c r="AE21" s="135">
        <v>45.2</v>
      </c>
      <c r="AF21" s="132">
        <v>0</v>
      </c>
      <c r="AG21" s="136">
        <v>49.9</v>
      </c>
      <c r="AH21" s="132">
        <v>0</v>
      </c>
      <c r="AI21" s="132">
        <v>75000</v>
      </c>
      <c r="AJ21" s="132">
        <v>0</v>
      </c>
      <c r="AK21" s="136">
        <v>0</v>
      </c>
      <c r="AL21" s="136">
        <v>0</v>
      </c>
      <c r="AM21" s="137">
        <v>1500</v>
      </c>
      <c r="AN21" s="137">
        <v>15</v>
      </c>
      <c r="AO21" s="132">
        <v>10</v>
      </c>
      <c r="AP21" s="138">
        <v>10</v>
      </c>
      <c r="AQ21" s="138">
        <v>10</v>
      </c>
      <c r="AR21" s="139">
        <v>7151</v>
      </c>
    </row>
    <row r="22" spans="1:44" s="96" customFormat="1" x14ac:dyDescent="0.3">
      <c r="A22" s="87" t="s">
        <v>73</v>
      </c>
      <c r="B22" s="87" t="s">
        <v>175</v>
      </c>
      <c r="C22" s="88" t="s">
        <v>258</v>
      </c>
      <c r="D22" s="88" t="s">
        <v>133</v>
      </c>
      <c r="E22" s="88" t="s">
        <v>259</v>
      </c>
      <c r="F22" s="88" t="s">
        <v>52</v>
      </c>
      <c r="G22" s="89">
        <v>44342</v>
      </c>
      <c r="H22" s="88">
        <v>85</v>
      </c>
      <c r="I22" s="88">
        <v>18</v>
      </c>
      <c r="J22" s="88">
        <v>12</v>
      </c>
      <c r="K22" s="88">
        <v>1</v>
      </c>
      <c r="L22" s="88">
        <v>2898</v>
      </c>
      <c r="M22" s="88">
        <v>5</v>
      </c>
      <c r="N22" s="88">
        <v>13700000</v>
      </c>
      <c r="O22" s="88">
        <v>0</v>
      </c>
      <c r="P22" s="88">
        <v>0</v>
      </c>
      <c r="Q22" s="88">
        <v>0</v>
      </c>
      <c r="R22" s="88">
        <v>19000</v>
      </c>
      <c r="S22" s="90">
        <v>6.5562456866804695</v>
      </c>
      <c r="T22" s="88">
        <v>19000</v>
      </c>
      <c r="U22" s="88">
        <v>6.5562456866804695</v>
      </c>
      <c r="V22" s="88">
        <v>19000</v>
      </c>
      <c r="W22" s="88">
        <v>0</v>
      </c>
      <c r="X22" s="88">
        <v>33</v>
      </c>
      <c r="Y22" s="88">
        <v>30</v>
      </c>
      <c r="Z22" s="88">
        <v>15</v>
      </c>
      <c r="AA22" s="88">
        <v>2.5999999999999999E-2</v>
      </c>
      <c r="AB22" s="88">
        <v>0.01</v>
      </c>
      <c r="AC22" s="88">
        <v>6.3E-2</v>
      </c>
      <c r="AD22" s="88">
        <v>0.125</v>
      </c>
      <c r="AE22" s="91">
        <v>45.2</v>
      </c>
      <c r="AF22" s="88">
        <v>0</v>
      </c>
      <c r="AG22" s="92">
        <v>49.9</v>
      </c>
      <c r="AH22" s="88">
        <v>0</v>
      </c>
      <c r="AI22" s="88">
        <v>75000</v>
      </c>
      <c r="AJ22" s="88">
        <v>0.35</v>
      </c>
      <c r="AK22" s="92">
        <v>71</v>
      </c>
      <c r="AL22" s="92">
        <v>53</v>
      </c>
      <c r="AM22" s="93">
        <v>1500</v>
      </c>
      <c r="AN22" s="93">
        <v>15</v>
      </c>
      <c r="AO22" s="88">
        <v>10</v>
      </c>
      <c r="AP22" s="94">
        <v>10</v>
      </c>
      <c r="AQ22" s="94">
        <v>10</v>
      </c>
      <c r="AR22" s="95">
        <v>1000</v>
      </c>
    </row>
    <row r="23" spans="1:44" s="96" customFormat="1" x14ac:dyDescent="0.3">
      <c r="A23" s="87" t="s">
        <v>53</v>
      </c>
      <c r="B23" s="87" t="s">
        <v>171</v>
      </c>
      <c r="C23" s="88" t="s">
        <v>260</v>
      </c>
      <c r="D23" s="88" t="s">
        <v>133</v>
      </c>
      <c r="E23" s="88" t="s">
        <v>259</v>
      </c>
      <c r="F23" s="88" t="s">
        <v>54</v>
      </c>
      <c r="G23" s="89">
        <v>44342</v>
      </c>
      <c r="H23" s="88">
        <v>85</v>
      </c>
      <c r="I23" s="88">
        <v>18</v>
      </c>
      <c r="J23" s="88">
        <v>12</v>
      </c>
      <c r="K23" s="88">
        <v>1</v>
      </c>
      <c r="L23" s="88">
        <v>2898</v>
      </c>
      <c r="M23" s="88">
        <v>5</v>
      </c>
      <c r="N23" s="88">
        <v>22500000</v>
      </c>
      <c r="O23" s="88">
        <v>0</v>
      </c>
      <c r="P23" s="88">
        <v>1500000</v>
      </c>
      <c r="Q23" s="88">
        <v>0</v>
      </c>
      <c r="R23" s="88">
        <v>12849</v>
      </c>
      <c r="S23" s="90">
        <v>4.4337474120082812</v>
      </c>
      <c r="T23" s="88">
        <v>0</v>
      </c>
      <c r="U23" s="88">
        <v>0</v>
      </c>
      <c r="V23" s="88">
        <v>5000</v>
      </c>
      <c r="W23" s="88">
        <v>0</v>
      </c>
      <c r="X23" s="88">
        <v>46</v>
      </c>
      <c r="Y23" s="88">
        <v>30</v>
      </c>
      <c r="Z23" s="88">
        <v>11</v>
      </c>
      <c r="AA23" s="88">
        <v>5.8000000000000003E-2</v>
      </c>
      <c r="AB23" s="88">
        <v>5.5E-2</v>
      </c>
      <c r="AC23" s="88">
        <v>0.02</v>
      </c>
      <c r="AD23" s="88">
        <v>0.125</v>
      </c>
      <c r="AE23" s="91">
        <v>45.2</v>
      </c>
      <c r="AF23" s="88">
        <v>0</v>
      </c>
      <c r="AG23" s="92">
        <v>49.9</v>
      </c>
      <c r="AH23" s="88">
        <v>0</v>
      </c>
      <c r="AI23" s="88">
        <v>75000</v>
      </c>
      <c r="AJ23" s="88">
        <v>0</v>
      </c>
      <c r="AK23" s="92">
        <v>0</v>
      </c>
      <c r="AL23" s="92">
        <v>0</v>
      </c>
      <c r="AM23" s="93">
        <v>1500</v>
      </c>
      <c r="AN23" s="93">
        <v>15</v>
      </c>
      <c r="AO23" s="88">
        <v>10</v>
      </c>
      <c r="AP23" s="94">
        <v>10</v>
      </c>
      <c r="AQ23" s="94">
        <v>10</v>
      </c>
      <c r="AR23" s="95">
        <v>7151</v>
      </c>
    </row>
    <row r="24" spans="1:44" x14ac:dyDescent="0.3">
      <c r="A24" s="45" t="s">
        <v>53</v>
      </c>
      <c r="B24" s="45" t="s">
        <v>171</v>
      </c>
      <c r="C24" s="21" t="s">
        <v>261</v>
      </c>
      <c r="D24" s="33" t="s">
        <v>133</v>
      </c>
      <c r="E24" s="21" t="s">
        <v>262</v>
      </c>
      <c r="F24" s="33" t="s">
        <v>54</v>
      </c>
      <c r="G24" s="39">
        <v>44342</v>
      </c>
      <c r="H24" s="33">
        <v>85</v>
      </c>
      <c r="I24" s="33">
        <v>20</v>
      </c>
      <c r="J24" s="33">
        <v>12</v>
      </c>
      <c r="K24" s="33">
        <v>1</v>
      </c>
      <c r="L24" s="33">
        <v>2415</v>
      </c>
      <c r="M24" s="33">
        <v>5</v>
      </c>
      <c r="N24" s="33">
        <v>23600000</v>
      </c>
      <c r="O24" s="33">
        <v>0</v>
      </c>
      <c r="P24" s="33">
        <v>1500000</v>
      </c>
      <c r="Q24" s="33">
        <v>0</v>
      </c>
      <c r="R24" s="33">
        <v>13890</v>
      </c>
      <c r="S24" s="40">
        <v>5.7515527950310563</v>
      </c>
      <c r="T24" s="33">
        <v>0</v>
      </c>
      <c r="U24" s="40">
        <v>0</v>
      </c>
      <c r="V24" s="33">
        <v>5000</v>
      </c>
      <c r="W24" s="33">
        <v>0</v>
      </c>
      <c r="X24" s="33">
        <v>46</v>
      </c>
      <c r="Y24" s="33">
        <v>30</v>
      </c>
      <c r="Z24" s="33">
        <v>11</v>
      </c>
      <c r="AA24" s="33">
        <v>5.8000000000000003E-2</v>
      </c>
      <c r="AB24" s="33">
        <v>5.5E-2</v>
      </c>
      <c r="AC24" s="33">
        <v>0.02</v>
      </c>
      <c r="AD24" s="33">
        <v>0.125</v>
      </c>
      <c r="AE24" s="41">
        <v>45.2</v>
      </c>
      <c r="AF24" s="33">
        <v>0</v>
      </c>
      <c r="AG24" s="42">
        <v>49.9</v>
      </c>
      <c r="AH24" s="33">
        <v>0</v>
      </c>
      <c r="AI24" s="33">
        <v>75000</v>
      </c>
      <c r="AJ24" s="33">
        <v>0</v>
      </c>
      <c r="AK24" s="42">
        <v>0</v>
      </c>
      <c r="AL24" s="42">
        <v>0</v>
      </c>
      <c r="AM24" s="43">
        <v>1500</v>
      </c>
      <c r="AN24" s="43">
        <v>15</v>
      </c>
      <c r="AO24" s="33">
        <v>10</v>
      </c>
      <c r="AP24" s="44">
        <v>10</v>
      </c>
      <c r="AQ24" s="44">
        <v>10</v>
      </c>
      <c r="AR24" s="32">
        <v>6110</v>
      </c>
    </row>
    <row r="25" spans="1:44" x14ac:dyDescent="0.3">
      <c r="A25" s="45" t="s">
        <v>53</v>
      </c>
      <c r="B25" s="45" t="s">
        <v>220</v>
      </c>
      <c r="C25" s="21" t="s">
        <v>263</v>
      </c>
      <c r="D25" s="33" t="s">
        <v>133</v>
      </c>
      <c r="E25" s="21" t="s">
        <v>262</v>
      </c>
      <c r="F25" s="33" t="s">
        <v>54</v>
      </c>
      <c r="G25" s="39">
        <v>44342</v>
      </c>
      <c r="H25" s="33">
        <v>85</v>
      </c>
      <c r="I25" s="33">
        <v>20</v>
      </c>
      <c r="J25" s="33">
        <v>12</v>
      </c>
      <c r="K25" s="33">
        <v>1</v>
      </c>
      <c r="L25" s="33">
        <v>2415</v>
      </c>
      <c r="M25" s="33">
        <v>5</v>
      </c>
      <c r="N25" s="33">
        <v>23600000</v>
      </c>
      <c r="O25" s="33">
        <v>0</v>
      </c>
      <c r="P25" s="33">
        <v>1500000</v>
      </c>
      <c r="Q25" s="33">
        <v>0</v>
      </c>
      <c r="R25" s="33">
        <v>13890</v>
      </c>
      <c r="S25" s="40">
        <v>5.7515527950310563</v>
      </c>
      <c r="T25" s="33">
        <v>0</v>
      </c>
      <c r="U25" s="40">
        <v>0</v>
      </c>
      <c r="V25" s="33">
        <v>5000</v>
      </c>
      <c r="W25" s="33">
        <v>0</v>
      </c>
      <c r="X25" s="33">
        <v>46</v>
      </c>
      <c r="Y25" s="33">
        <v>30</v>
      </c>
      <c r="Z25" s="33">
        <v>11</v>
      </c>
      <c r="AA25" s="33">
        <v>5.8000000000000003E-2</v>
      </c>
      <c r="AB25" s="33">
        <v>5.5E-2</v>
      </c>
      <c r="AC25" s="33">
        <v>0.02</v>
      </c>
      <c r="AD25" s="33">
        <v>0.125</v>
      </c>
      <c r="AE25" s="41">
        <v>45.2</v>
      </c>
      <c r="AF25" s="33">
        <v>0</v>
      </c>
      <c r="AG25" s="42">
        <v>49.9</v>
      </c>
      <c r="AH25" s="33">
        <v>0</v>
      </c>
      <c r="AI25" s="33">
        <v>75000</v>
      </c>
      <c r="AJ25" s="33">
        <v>0</v>
      </c>
      <c r="AK25" s="42">
        <v>0</v>
      </c>
      <c r="AL25" s="42">
        <v>0</v>
      </c>
      <c r="AM25" s="43">
        <v>1500</v>
      </c>
      <c r="AN25" s="43">
        <v>15</v>
      </c>
      <c r="AO25" s="33">
        <v>10</v>
      </c>
      <c r="AP25" s="44">
        <v>10</v>
      </c>
      <c r="AQ25" s="44">
        <v>10</v>
      </c>
      <c r="AR25" s="32">
        <v>6110</v>
      </c>
    </row>
    <row r="26" spans="1:44" x14ac:dyDescent="0.3">
      <c r="A26" s="33" t="s">
        <v>73</v>
      </c>
      <c r="B26" s="38" t="s">
        <v>175</v>
      </c>
      <c r="C26" s="21" t="s">
        <v>288</v>
      </c>
      <c r="D26" s="33" t="s">
        <v>133</v>
      </c>
      <c r="E26" s="21" t="s">
        <v>251</v>
      </c>
      <c r="F26" s="33" t="s">
        <v>52</v>
      </c>
      <c r="G26" s="39">
        <v>44342</v>
      </c>
      <c r="H26" s="33">
        <v>85</v>
      </c>
      <c r="I26" s="33">
        <v>20</v>
      </c>
      <c r="J26" s="33">
        <v>12</v>
      </c>
      <c r="K26" s="33">
        <v>1</v>
      </c>
      <c r="L26" s="33">
        <v>2898</v>
      </c>
      <c r="M26" s="33">
        <v>5</v>
      </c>
      <c r="N26" s="33">
        <v>25000000</v>
      </c>
      <c r="O26" s="33">
        <v>30000000</v>
      </c>
      <c r="P26" s="33">
        <v>0</v>
      </c>
      <c r="Q26" s="33">
        <v>0</v>
      </c>
      <c r="R26" s="33">
        <v>19900</v>
      </c>
      <c r="S26" s="40">
        <v>6.8668046928916491</v>
      </c>
      <c r="T26" s="33">
        <v>19900</v>
      </c>
      <c r="U26" s="40">
        <v>6.8668046928916491</v>
      </c>
      <c r="V26" s="33">
        <v>0</v>
      </c>
      <c r="W26" s="33">
        <v>0</v>
      </c>
      <c r="X26" s="33">
        <v>33</v>
      </c>
      <c r="Y26" s="33">
        <v>30</v>
      </c>
      <c r="Z26" s="33">
        <v>15</v>
      </c>
      <c r="AA26" s="33">
        <v>2.5999999999999999E-2</v>
      </c>
      <c r="AB26" s="33">
        <v>0.01</v>
      </c>
      <c r="AC26" s="33">
        <v>6.3E-2</v>
      </c>
      <c r="AD26" s="33">
        <v>0.125</v>
      </c>
      <c r="AE26" s="41">
        <v>158.80000000000001</v>
      </c>
      <c r="AF26" s="33">
        <v>0</v>
      </c>
      <c r="AG26" s="42">
        <v>49.9</v>
      </c>
      <c r="AH26" s="33">
        <v>0</v>
      </c>
      <c r="AI26" s="33">
        <v>75000</v>
      </c>
      <c r="AJ26" s="33">
        <v>0.35</v>
      </c>
      <c r="AK26" s="42">
        <v>71</v>
      </c>
      <c r="AL26" s="42">
        <v>53</v>
      </c>
      <c r="AM26" s="43">
        <v>1500</v>
      </c>
      <c r="AN26" s="43">
        <v>15</v>
      </c>
      <c r="AO26" s="33">
        <v>10</v>
      </c>
      <c r="AP26" s="44">
        <v>10</v>
      </c>
      <c r="AQ26" s="44">
        <v>10</v>
      </c>
      <c r="AR26" s="32">
        <v>2000</v>
      </c>
    </row>
    <row r="27" spans="1:44" x14ac:dyDescent="0.3">
      <c r="A27" s="33" t="s">
        <v>73</v>
      </c>
      <c r="B27" s="38" t="s">
        <v>175</v>
      </c>
      <c r="C27" s="21" t="s">
        <v>289</v>
      </c>
      <c r="D27" s="33" t="s">
        <v>133</v>
      </c>
      <c r="E27" s="21" t="s">
        <v>251</v>
      </c>
      <c r="F27" s="33" t="s">
        <v>52</v>
      </c>
      <c r="G27" s="39">
        <v>44342</v>
      </c>
      <c r="H27" s="33">
        <v>85</v>
      </c>
      <c r="I27" s="33">
        <v>20</v>
      </c>
      <c r="J27" s="33">
        <v>12</v>
      </c>
      <c r="K27" s="33">
        <v>1</v>
      </c>
      <c r="L27" s="33">
        <v>2898</v>
      </c>
      <c r="M27" s="33">
        <v>5</v>
      </c>
      <c r="N27" s="33">
        <v>25000000</v>
      </c>
      <c r="O27" s="33">
        <v>30000000</v>
      </c>
      <c r="P27" s="33">
        <v>0</v>
      </c>
      <c r="Q27" s="33">
        <v>0</v>
      </c>
      <c r="R27" s="33">
        <v>19900</v>
      </c>
      <c r="S27" s="40">
        <v>6.8668046928916491</v>
      </c>
      <c r="T27" s="33">
        <v>19900</v>
      </c>
      <c r="U27" s="40">
        <v>6.8668046928916491</v>
      </c>
      <c r="V27" s="33">
        <v>0</v>
      </c>
      <c r="W27" s="33">
        <v>0</v>
      </c>
      <c r="X27" s="33">
        <v>33</v>
      </c>
      <c r="Y27" s="33">
        <v>30</v>
      </c>
      <c r="Z27" s="33">
        <v>15</v>
      </c>
      <c r="AA27" s="33">
        <v>2.5999999999999999E-2</v>
      </c>
      <c r="AB27" s="33">
        <v>0.01</v>
      </c>
      <c r="AC27" s="33">
        <v>6.3E-2</v>
      </c>
      <c r="AD27" s="33">
        <v>0.125</v>
      </c>
      <c r="AE27" s="41">
        <v>158.80000000000001</v>
      </c>
      <c r="AF27" s="33">
        <v>0</v>
      </c>
      <c r="AG27" s="42">
        <v>49.9</v>
      </c>
      <c r="AH27" s="33">
        <v>0</v>
      </c>
      <c r="AI27" s="33">
        <v>75000</v>
      </c>
      <c r="AJ27" s="33">
        <v>0.35</v>
      </c>
      <c r="AK27" s="42">
        <v>71</v>
      </c>
      <c r="AL27" s="42">
        <v>53</v>
      </c>
      <c r="AM27" s="43">
        <v>1500</v>
      </c>
      <c r="AN27" s="43">
        <v>15</v>
      </c>
      <c r="AO27" s="33">
        <v>10</v>
      </c>
      <c r="AP27" s="44">
        <v>10</v>
      </c>
      <c r="AQ27" s="44">
        <v>10</v>
      </c>
      <c r="AR27" s="32">
        <v>8000</v>
      </c>
    </row>
    <row r="28" spans="1:44" x14ac:dyDescent="0.3">
      <c r="A28" s="33" t="s">
        <v>73</v>
      </c>
      <c r="B28" s="38" t="s">
        <v>178</v>
      </c>
      <c r="C28" s="21" t="s">
        <v>284</v>
      </c>
      <c r="D28" s="33" t="s">
        <v>133</v>
      </c>
      <c r="E28" s="21" t="s">
        <v>279</v>
      </c>
      <c r="F28" s="33" t="s">
        <v>52</v>
      </c>
      <c r="G28" s="39">
        <v>44342</v>
      </c>
      <c r="H28" s="33">
        <v>85</v>
      </c>
      <c r="I28" s="88">
        <v>18</v>
      </c>
      <c r="J28" s="33">
        <v>12</v>
      </c>
      <c r="K28" s="33">
        <v>1</v>
      </c>
      <c r="L28" s="33">
        <v>2898</v>
      </c>
      <c r="M28" s="33">
        <v>5</v>
      </c>
      <c r="N28" s="33">
        <v>25000000</v>
      </c>
      <c r="O28" s="33">
        <v>30000000</v>
      </c>
      <c r="P28" s="33">
        <v>0</v>
      </c>
      <c r="Q28" s="33">
        <v>0</v>
      </c>
      <c r="R28" s="33">
        <v>19900</v>
      </c>
      <c r="S28" s="40">
        <v>6.8668046928916491</v>
      </c>
      <c r="T28" s="33">
        <v>19900</v>
      </c>
      <c r="U28" s="40">
        <v>6.8668046928916491</v>
      </c>
      <c r="V28" s="33">
        <v>0</v>
      </c>
      <c r="W28" s="33">
        <v>0</v>
      </c>
      <c r="X28" s="33">
        <v>33</v>
      </c>
      <c r="Y28" s="33">
        <v>30</v>
      </c>
      <c r="Z28" s="33">
        <v>15</v>
      </c>
      <c r="AA28" s="33">
        <v>2.5999999999999999E-2</v>
      </c>
      <c r="AB28" s="33">
        <v>0.01</v>
      </c>
      <c r="AC28" s="33">
        <v>6.3E-2</v>
      </c>
      <c r="AD28" s="33">
        <v>0.125</v>
      </c>
      <c r="AE28" s="41">
        <v>158.80000000000001</v>
      </c>
      <c r="AF28" s="33">
        <v>0</v>
      </c>
      <c r="AG28" s="42">
        <v>49.9</v>
      </c>
      <c r="AH28" s="33">
        <v>0</v>
      </c>
      <c r="AI28" s="33">
        <v>75000</v>
      </c>
      <c r="AJ28" s="33">
        <v>0.35</v>
      </c>
      <c r="AK28" s="42">
        <v>71</v>
      </c>
      <c r="AL28" s="42">
        <v>53</v>
      </c>
      <c r="AM28" s="43">
        <v>1500</v>
      </c>
      <c r="AN28" s="43">
        <v>15</v>
      </c>
      <c r="AO28" s="33">
        <v>10</v>
      </c>
      <c r="AP28" s="44">
        <v>10</v>
      </c>
      <c r="AQ28" s="44">
        <v>10</v>
      </c>
      <c r="AR28" s="32">
        <v>4933</v>
      </c>
    </row>
    <row r="29" spans="1:44" x14ac:dyDescent="0.3">
      <c r="A29" s="33" t="s">
        <v>73</v>
      </c>
      <c r="B29" s="38" t="s">
        <v>175</v>
      </c>
      <c r="C29" s="21" t="s">
        <v>285</v>
      </c>
      <c r="D29" s="33" t="s">
        <v>133</v>
      </c>
      <c r="E29" s="21" t="s">
        <v>279</v>
      </c>
      <c r="F29" s="33" t="s">
        <v>52</v>
      </c>
      <c r="G29" s="39">
        <v>44342</v>
      </c>
      <c r="H29" s="33">
        <v>85</v>
      </c>
      <c r="I29" s="88">
        <v>18</v>
      </c>
      <c r="J29" s="33">
        <v>12</v>
      </c>
      <c r="K29" s="33">
        <v>1</v>
      </c>
      <c r="L29" s="33">
        <v>2898</v>
      </c>
      <c r="M29" s="33">
        <v>5</v>
      </c>
      <c r="N29" s="33">
        <v>25000000</v>
      </c>
      <c r="O29" s="33">
        <v>30000000</v>
      </c>
      <c r="P29" s="33">
        <v>0</v>
      </c>
      <c r="Q29" s="33">
        <v>0</v>
      </c>
      <c r="R29" s="33">
        <v>19900</v>
      </c>
      <c r="S29" s="40">
        <v>6.8668046928916491</v>
      </c>
      <c r="T29" s="33">
        <v>19900</v>
      </c>
      <c r="U29" s="40">
        <v>6.8668046928916491</v>
      </c>
      <c r="V29" s="33">
        <v>0</v>
      </c>
      <c r="W29" s="33">
        <v>0</v>
      </c>
      <c r="X29" s="33">
        <v>33</v>
      </c>
      <c r="Y29" s="33">
        <v>30</v>
      </c>
      <c r="Z29" s="33">
        <v>15</v>
      </c>
      <c r="AA29" s="33">
        <v>2.5999999999999999E-2</v>
      </c>
      <c r="AB29" s="33">
        <v>0.01</v>
      </c>
      <c r="AC29" s="33">
        <v>6.3E-2</v>
      </c>
      <c r="AD29" s="33">
        <v>0.125</v>
      </c>
      <c r="AE29" s="41">
        <v>158.80000000000001</v>
      </c>
      <c r="AF29" s="33">
        <v>0</v>
      </c>
      <c r="AG29" s="42">
        <v>49.9</v>
      </c>
      <c r="AH29" s="33">
        <v>0</v>
      </c>
      <c r="AI29" s="33">
        <v>75000</v>
      </c>
      <c r="AJ29" s="33">
        <v>0.35</v>
      </c>
      <c r="AK29" s="42">
        <v>71</v>
      </c>
      <c r="AL29" s="42">
        <v>53</v>
      </c>
      <c r="AM29" s="43">
        <v>1500</v>
      </c>
      <c r="AN29" s="43">
        <v>15</v>
      </c>
      <c r="AO29" s="33">
        <v>10</v>
      </c>
      <c r="AP29" s="44">
        <v>10</v>
      </c>
      <c r="AQ29" s="44">
        <v>10</v>
      </c>
      <c r="AR29" s="32">
        <v>6842</v>
      </c>
    </row>
    <row r="30" spans="1:44" s="96" customFormat="1" x14ac:dyDescent="0.3">
      <c r="A30" s="88" t="s">
        <v>53</v>
      </c>
      <c r="B30" s="97" t="s">
        <v>171</v>
      </c>
      <c r="C30" s="98" t="s">
        <v>295</v>
      </c>
      <c r="D30" s="88" t="s">
        <v>133</v>
      </c>
      <c r="E30" s="98" t="s">
        <v>264</v>
      </c>
      <c r="F30" s="88" t="s">
        <v>54</v>
      </c>
      <c r="G30" s="89">
        <v>44342</v>
      </c>
      <c r="H30" s="88">
        <v>85</v>
      </c>
      <c r="I30" s="88">
        <v>23</v>
      </c>
      <c r="J30" s="88">
        <v>12</v>
      </c>
      <c r="K30" s="88">
        <v>1</v>
      </c>
      <c r="L30" s="88">
        <v>1863</v>
      </c>
      <c r="M30" s="88">
        <v>5</v>
      </c>
      <c r="N30" s="88">
        <v>26900000</v>
      </c>
      <c r="O30" s="88">
        <v>0</v>
      </c>
      <c r="P30" s="88">
        <v>2000000</v>
      </c>
      <c r="Q30" s="88">
        <v>0</v>
      </c>
      <c r="R30" s="88">
        <v>14000</v>
      </c>
      <c r="S30" s="90">
        <v>7.5147611379495434</v>
      </c>
      <c r="T30" s="88">
        <v>0</v>
      </c>
      <c r="U30" s="90">
        <v>0</v>
      </c>
      <c r="V30" s="88">
        <v>5000</v>
      </c>
      <c r="W30" s="88">
        <v>0</v>
      </c>
      <c r="X30" s="88">
        <v>46</v>
      </c>
      <c r="Y30" s="88">
        <v>30</v>
      </c>
      <c r="Z30" s="88">
        <v>16</v>
      </c>
      <c r="AA30" s="88">
        <v>1.4E-2</v>
      </c>
      <c r="AB30" s="88">
        <v>1.4E-2</v>
      </c>
      <c r="AC30" s="88">
        <v>7.4999999999999997E-2</v>
      </c>
      <c r="AD30" s="88">
        <v>0.125</v>
      </c>
      <c r="AE30" s="91">
        <v>45.2</v>
      </c>
      <c r="AF30" s="88">
        <v>0</v>
      </c>
      <c r="AG30" s="92">
        <v>49.9</v>
      </c>
      <c r="AH30" s="88">
        <v>0</v>
      </c>
      <c r="AI30" s="88">
        <v>75000</v>
      </c>
      <c r="AJ30" s="88">
        <v>0</v>
      </c>
      <c r="AK30" s="92">
        <v>0</v>
      </c>
      <c r="AL30" s="92">
        <v>0</v>
      </c>
      <c r="AM30" s="93">
        <v>1500</v>
      </c>
      <c r="AN30" s="93">
        <v>15</v>
      </c>
      <c r="AO30" s="88">
        <v>10</v>
      </c>
      <c r="AP30" s="94">
        <v>10</v>
      </c>
      <c r="AQ30" s="94">
        <v>10</v>
      </c>
      <c r="AR30" s="95">
        <v>17454</v>
      </c>
    </row>
    <row r="31" spans="1:44" s="96" customFormat="1" x14ac:dyDescent="0.3">
      <c r="A31" s="99" t="s">
        <v>73</v>
      </c>
      <c r="B31" s="100" t="s">
        <v>175</v>
      </c>
      <c r="C31" s="101" t="s">
        <v>164</v>
      </c>
      <c r="D31" s="101" t="s">
        <v>133</v>
      </c>
      <c r="E31" s="101" t="s">
        <v>264</v>
      </c>
      <c r="F31" s="101" t="s">
        <v>52</v>
      </c>
      <c r="G31" s="102">
        <v>44342</v>
      </c>
      <c r="H31" s="101">
        <v>85</v>
      </c>
      <c r="I31" s="88">
        <v>23</v>
      </c>
      <c r="J31" s="101">
        <v>12</v>
      </c>
      <c r="K31" s="101">
        <v>1</v>
      </c>
      <c r="L31" s="101">
        <v>2346</v>
      </c>
      <c r="M31" s="101">
        <v>5</v>
      </c>
      <c r="N31" s="101">
        <v>18600000</v>
      </c>
      <c r="O31" s="88">
        <v>0</v>
      </c>
      <c r="P31" s="101">
        <v>0</v>
      </c>
      <c r="Q31" s="101">
        <v>0</v>
      </c>
      <c r="R31" s="101">
        <v>15644</v>
      </c>
      <c r="S31" s="103">
        <v>6.6683716965046891</v>
      </c>
      <c r="T31" s="101">
        <v>15644</v>
      </c>
      <c r="U31" s="103">
        <v>6.6683716965046891</v>
      </c>
      <c r="V31" s="101">
        <v>15644</v>
      </c>
      <c r="W31" s="101">
        <v>0</v>
      </c>
      <c r="X31" s="101">
        <v>33</v>
      </c>
      <c r="Y31" s="101">
        <v>30</v>
      </c>
      <c r="Z31" s="101">
        <v>15</v>
      </c>
      <c r="AA31" s="101">
        <v>2.5999999999999999E-2</v>
      </c>
      <c r="AB31" s="101">
        <v>0.01</v>
      </c>
      <c r="AC31" s="101">
        <v>6.3E-2</v>
      </c>
      <c r="AD31" s="101">
        <v>0.125</v>
      </c>
      <c r="AE31" s="91">
        <v>45.2</v>
      </c>
      <c r="AF31" s="101">
        <v>0</v>
      </c>
      <c r="AG31" s="92">
        <v>49.9</v>
      </c>
      <c r="AH31" s="101">
        <v>0</v>
      </c>
      <c r="AI31" s="101">
        <v>75000</v>
      </c>
      <c r="AJ31" s="101">
        <v>0.35</v>
      </c>
      <c r="AK31" s="104">
        <v>71</v>
      </c>
      <c r="AL31" s="104">
        <v>53</v>
      </c>
      <c r="AM31" s="105">
        <v>1500</v>
      </c>
      <c r="AN31" s="105">
        <v>15</v>
      </c>
      <c r="AO31" s="101">
        <v>10</v>
      </c>
      <c r="AP31" s="106">
        <v>10</v>
      </c>
      <c r="AQ31" s="106">
        <v>10</v>
      </c>
      <c r="AR31" s="107">
        <v>4356</v>
      </c>
    </row>
    <row r="32" spans="1:44" s="139" customFormat="1" x14ac:dyDescent="0.3">
      <c r="A32" s="130" t="s">
        <v>53</v>
      </c>
      <c r="B32" s="140" t="s">
        <v>171</v>
      </c>
      <c r="C32" s="132" t="s">
        <v>265</v>
      </c>
      <c r="D32" s="132" t="s">
        <v>133</v>
      </c>
      <c r="E32" s="141" t="s">
        <v>301</v>
      </c>
      <c r="F32" s="132" t="s">
        <v>54</v>
      </c>
      <c r="G32" s="133">
        <v>44342</v>
      </c>
      <c r="H32" s="132">
        <v>85</v>
      </c>
      <c r="I32" s="132">
        <v>13.5</v>
      </c>
      <c r="J32" s="132">
        <v>12</v>
      </c>
      <c r="K32" s="132">
        <v>1</v>
      </c>
      <c r="L32" s="132">
        <v>1863</v>
      </c>
      <c r="M32" s="132">
        <v>5</v>
      </c>
      <c r="N32" s="132">
        <v>31500000</v>
      </c>
      <c r="O32" s="132">
        <v>0</v>
      </c>
      <c r="P32" s="132">
        <v>2000000</v>
      </c>
      <c r="Q32" s="132">
        <v>0</v>
      </c>
      <c r="R32" s="132">
        <v>9982</v>
      </c>
      <c r="S32" s="134">
        <v>5.3580246913580245</v>
      </c>
      <c r="T32" s="132">
        <v>0</v>
      </c>
      <c r="U32" s="134">
        <v>0</v>
      </c>
      <c r="V32" s="132">
        <v>5000</v>
      </c>
      <c r="W32" s="132">
        <v>0</v>
      </c>
      <c r="X32" s="132">
        <v>46</v>
      </c>
      <c r="Y32" s="132">
        <v>30</v>
      </c>
      <c r="Z32" s="132">
        <v>11</v>
      </c>
      <c r="AA32" s="132">
        <v>5.8000000000000003E-2</v>
      </c>
      <c r="AB32" s="132">
        <v>5.5E-2</v>
      </c>
      <c r="AC32" s="132">
        <v>0.02</v>
      </c>
      <c r="AD32" s="132">
        <v>0.125</v>
      </c>
      <c r="AE32" s="135">
        <v>45.2</v>
      </c>
      <c r="AF32" s="132">
        <v>0</v>
      </c>
      <c r="AG32" s="136">
        <v>49.9</v>
      </c>
      <c r="AH32" s="132">
        <v>0</v>
      </c>
      <c r="AI32" s="132">
        <v>75000</v>
      </c>
      <c r="AJ32" s="132">
        <v>0</v>
      </c>
      <c r="AK32" s="136">
        <v>0</v>
      </c>
      <c r="AL32" s="136">
        <v>0</v>
      </c>
      <c r="AM32" s="137">
        <v>1500</v>
      </c>
      <c r="AN32" s="137">
        <v>15</v>
      </c>
      <c r="AO32" s="132">
        <v>10</v>
      </c>
      <c r="AP32" s="138">
        <v>10</v>
      </c>
      <c r="AQ32" s="138">
        <v>10</v>
      </c>
      <c r="AR32" s="139">
        <v>10018</v>
      </c>
    </row>
    <row r="33" spans="1:44" s="96" customFormat="1" x14ac:dyDescent="0.3">
      <c r="A33" s="88" t="s">
        <v>53</v>
      </c>
      <c r="B33" s="97" t="s">
        <v>171</v>
      </c>
      <c r="C33" s="98" t="s">
        <v>293</v>
      </c>
      <c r="D33" s="98" t="s">
        <v>51</v>
      </c>
      <c r="E33" s="98" t="s">
        <v>266</v>
      </c>
      <c r="F33" s="88" t="s">
        <v>54</v>
      </c>
      <c r="G33" s="89">
        <v>44342</v>
      </c>
      <c r="H33" s="88">
        <v>85</v>
      </c>
      <c r="I33" s="33">
        <v>20</v>
      </c>
      <c r="J33" s="88">
        <v>12</v>
      </c>
      <c r="K33" s="88">
        <v>1</v>
      </c>
      <c r="L33" s="88">
        <v>1863</v>
      </c>
      <c r="M33" s="88">
        <v>5</v>
      </c>
      <c r="N33" s="88">
        <v>26900000</v>
      </c>
      <c r="O33" s="88">
        <v>0</v>
      </c>
      <c r="P33" s="88">
        <v>2000000</v>
      </c>
      <c r="Q33" s="88">
        <v>0</v>
      </c>
      <c r="R33" s="88">
        <v>14000</v>
      </c>
      <c r="S33" s="90">
        <v>7.5147611379495434</v>
      </c>
      <c r="T33" s="88">
        <v>0</v>
      </c>
      <c r="U33" s="90">
        <v>0</v>
      </c>
      <c r="V33" s="88">
        <v>5000</v>
      </c>
      <c r="W33" s="88">
        <v>0</v>
      </c>
      <c r="X33" s="88">
        <v>46</v>
      </c>
      <c r="Y33" s="88">
        <v>30</v>
      </c>
      <c r="Z33" s="88">
        <v>11</v>
      </c>
      <c r="AA33" s="88">
        <v>5.8000000000000003E-2</v>
      </c>
      <c r="AB33" s="88">
        <v>5.5E-2</v>
      </c>
      <c r="AC33" s="88">
        <v>0.02</v>
      </c>
      <c r="AD33" s="88">
        <v>0.125</v>
      </c>
      <c r="AE33" s="91">
        <v>45.2</v>
      </c>
      <c r="AF33" s="88">
        <v>0</v>
      </c>
      <c r="AG33" s="92">
        <v>49.9</v>
      </c>
      <c r="AH33" s="88">
        <v>0</v>
      </c>
      <c r="AI33" s="88">
        <v>75000</v>
      </c>
      <c r="AJ33" s="88">
        <v>0</v>
      </c>
      <c r="AK33" s="92">
        <v>0</v>
      </c>
      <c r="AL33" s="92">
        <v>0</v>
      </c>
      <c r="AM33" s="93">
        <v>1500</v>
      </c>
      <c r="AN33" s="93">
        <v>15</v>
      </c>
      <c r="AO33" s="88">
        <v>10</v>
      </c>
      <c r="AP33" s="94">
        <v>10</v>
      </c>
      <c r="AQ33" s="94">
        <v>10</v>
      </c>
      <c r="AR33" s="95">
        <v>10018</v>
      </c>
    </row>
    <row r="34" spans="1:44" s="96" customFormat="1" x14ac:dyDescent="0.3">
      <c r="A34" s="88" t="s">
        <v>53</v>
      </c>
      <c r="B34" s="97" t="s">
        <v>171</v>
      </c>
      <c r="C34" s="98" t="s">
        <v>267</v>
      </c>
      <c r="D34" s="88" t="s">
        <v>133</v>
      </c>
      <c r="E34" s="98" t="s">
        <v>264</v>
      </c>
      <c r="F34" s="88" t="s">
        <v>54</v>
      </c>
      <c r="G34" s="89">
        <v>44342</v>
      </c>
      <c r="H34" s="88">
        <v>85</v>
      </c>
      <c r="I34" s="88">
        <v>23</v>
      </c>
      <c r="J34" s="88">
        <v>12</v>
      </c>
      <c r="K34" s="88">
        <v>1</v>
      </c>
      <c r="L34" s="88">
        <v>2346</v>
      </c>
      <c r="M34" s="88">
        <v>5</v>
      </c>
      <c r="N34" s="88">
        <v>33500000</v>
      </c>
      <c r="O34" s="88">
        <v>0</v>
      </c>
      <c r="P34" s="88">
        <v>2000000</v>
      </c>
      <c r="Q34" s="88">
        <v>0</v>
      </c>
      <c r="R34" s="88">
        <v>19000</v>
      </c>
      <c r="S34" s="90">
        <v>8.0988917306052848</v>
      </c>
      <c r="T34" s="88">
        <v>0</v>
      </c>
      <c r="U34" s="90">
        <v>0</v>
      </c>
      <c r="V34" s="88">
        <v>5000</v>
      </c>
      <c r="W34" s="88">
        <v>0</v>
      </c>
      <c r="X34" s="88">
        <v>46</v>
      </c>
      <c r="Y34" s="88">
        <v>30</v>
      </c>
      <c r="Z34" s="88">
        <v>11</v>
      </c>
      <c r="AA34" s="88">
        <v>5.8000000000000003E-2</v>
      </c>
      <c r="AB34" s="88">
        <v>5.5E-2</v>
      </c>
      <c r="AC34" s="88">
        <v>0.02</v>
      </c>
      <c r="AD34" s="88">
        <v>0.125</v>
      </c>
      <c r="AE34" s="91">
        <v>45.2</v>
      </c>
      <c r="AF34" s="88">
        <v>0</v>
      </c>
      <c r="AG34" s="92">
        <v>49.9</v>
      </c>
      <c r="AH34" s="88">
        <v>0</v>
      </c>
      <c r="AI34" s="88">
        <v>75000</v>
      </c>
      <c r="AJ34" s="88">
        <v>0</v>
      </c>
      <c r="AK34" s="92">
        <v>0</v>
      </c>
      <c r="AL34" s="92">
        <v>0</v>
      </c>
      <c r="AM34" s="93">
        <v>1500</v>
      </c>
      <c r="AN34" s="93">
        <v>15</v>
      </c>
      <c r="AO34" s="88">
        <v>10</v>
      </c>
      <c r="AP34" s="94">
        <v>10</v>
      </c>
      <c r="AQ34" s="94">
        <v>10</v>
      </c>
      <c r="AR34" s="95">
        <v>1000</v>
      </c>
    </row>
    <row r="35" spans="1:44" s="96" customFormat="1" x14ac:dyDescent="0.3">
      <c r="A35" s="88" t="s">
        <v>73</v>
      </c>
      <c r="B35" s="97" t="s">
        <v>175</v>
      </c>
      <c r="C35" s="98" t="s">
        <v>162</v>
      </c>
      <c r="D35" s="88" t="s">
        <v>133</v>
      </c>
      <c r="E35" s="98" t="s">
        <v>264</v>
      </c>
      <c r="F35" s="88" t="s">
        <v>52</v>
      </c>
      <c r="G35" s="89">
        <v>44342</v>
      </c>
      <c r="H35" s="88">
        <v>85</v>
      </c>
      <c r="I35" s="88">
        <v>23</v>
      </c>
      <c r="J35" s="88">
        <v>12</v>
      </c>
      <c r="K35" s="88">
        <v>1</v>
      </c>
      <c r="L35" s="88">
        <v>2346</v>
      </c>
      <c r="M35" s="88">
        <v>5</v>
      </c>
      <c r="N35" s="88">
        <v>19600000</v>
      </c>
      <c r="O35" s="88">
        <v>0</v>
      </c>
      <c r="P35" s="88">
        <v>0</v>
      </c>
      <c r="Q35" s="88">
        <v>0</v>
      </c>
      <c r="R35" s="88">
        <v>19000</v>
      </c>
      <c r="S35" s="90">
        <v>8.0988917306052848</v>
      </c>
      <c r="T35" s="88">
        <v>19000</v>
      </c>
      <c r="U35" s="90">
        <v>8.0988917306052848</v>
      </c>
      <c r="V35" s="88">
        <v>19000</v>
      </c>
      <c r="W35" s="88">
        <v>0</v>
      </c>
      <c r="X35" s="88">
        <v>33</v>
      </c>
      <c r="Y35" s="88">
        <v>30</v>
      </c>
      <c r="Z35" s="88">
        <v>15</v>
      </c>
      <c r="AA35" s="88">
        <v>2.5999999999999999E-2</v>
      </c>
      <c r="AB35" s="88">
        <v>0.01</v>
      </c>
      <c r="AC35" s="88">
        <v>6.3E-2</v>
      </c>
      <c r="AD35" s="88">
        <v>0.125</v>
      </c>
      <c r="AE35" s="91">
        <v>45.2</v>
      </c>
      <c r="AF35" s="88">
        <v>0</v>
      </c>
      <c r="AG35" s="92">
        <v>49.9</v>
      </c>
      <c r="AH35" s="88">
        <v>0</v>
      </c>
      <c r="AI35" s="88">
        <v>75000</v>
      </c>
      <c r="AJ35" s="88">
        <v>0.35</v>
      </c>
      <c r="AK35" s="92">
        <v>71</v>
      </c>
      <c r="AL35" s="92">
        <v>53</v>
      </c>
      <c r="AM35" s="93">
        <v>1500</v>
      </c>
      <c r="AN35" s="93">
        <v>15</v>
      </c>
      <c r="AO35" s="88">
        <v>10</v>
      </c>
      <c r="AP35" s="94">
        <v>10</v>
      </c>
      <c r="AQ35" s="94">
        <v>10</v>
      </c>
      <c r="AR35" s="95">
        <v>1000</v>
      </c>
    </row>
    <row r="36" spans="1:44" x14ac:dyDescent="0.3">
      <c r="A36" s="45" t="s">
        <v>73</v>
      </c>
      <c r="B36" s="45" t="s">
        <v>175</v>
      </c>
      <c r="C36" s="21" t="s">
        <v>286</v>
      </c>
      <c r="D36" s="33" t="s">
        <v>133</v>
      </c>
      <c r="E36" s="21" t="s">
        <v>262</v>
      </c>
      <c r="F36" s="33" t="s">
        <v>52</v>
      </c>
      <c r="G36" s="39">
        <v>44342</v>
      </c>
      <c r="H36" s="33">
        <v>85</v>
      </c>
      <c r="I36" s="33">
        <v>20</v>
      </c>
      <c r="J36" s="33">
        <v>12</v>
      </c>
      <c r="K36" s="33">
        <v>1</v>
      </c>
      <c r="L36" s="33">
        <v>2898</v>
      </c>
      <c r="M36" s="33">
        <v>5</v>
      </c>
      <c r="N36" s="33">
        <v>25000000</v>
      </c>
      <c r="O36" s="33">
        <v>30000000</v>
      </c>
      <c r="P36" s="33">
        <v>0</v>
      </c>
      <c r="Q36" s="33">
        <v>0</v>
      </c>
      <c r="R36" s="33">
        <v>19900</v>
      </c>
      <c r="S36" s="40">
        <v>6.8668046928916491</v>
      </c>
      <c r="T36" s="33">
        <v>19900</v>
      </c>
      <c r="U36" s="40">
        <v>6.8668046928916491</v>
      </c>
      <c r="V36" s="33">
        <v>0</v>
      </c>
      <c r="W36" s="33">
        <v>0</v>
      </c>
      <c r="X36" s="33">
        <v>33</v>
      </c>
      <c r="Y36" s="33">
        <v>30</v>
      </c>
      <c r="Z36" s="33">
        <v>23</v>
      </c>
      <c r="AA36" s="33">
        <v>2.5999999999999999E-2</v>
      </c>
      <c r="AB36" s="33">
        <v>0.01</v>
      </c>
      <c r="AC36" s="33">
        <v>6.3E-2</v>
      </c>
      <c r="AD36" s="33">
        <v>0.125</v>
      </c>
      <c r="AE36" s="41">
        <v>158.80000000000001</v>
      </c>
      <c r="AF36" s="33">
        <v>0</v>
      </c>
      <c r="AG36" s="42">
        <v>49.9</v>
      </c>
      <c r="AH36" s="33">
        <v>0</v>
      </c>
      <c r="AI36" s="33">
        <v>75000</v>
      </c>
      <c r="AJ36" s="33">
        <v>0.35</v>
      </c>
      <c r="AK36" s="42">
        <v>71</v>
      </c>
      <c r="AL36" s="42">
        <v>53</v>
      </c>
      <c r="AM36" s="43">
        <v>1500</v>
      </c>
      <c r="AN36" s="43">
        <v>15</v>
      </c>
      <c r="AO36" s="33">
        <v>10</v>
      </c>
      <c r="AP36" s="44">
        <v>10</v>
      </c>
      <c r="AQ36" s="44">
        <v>10</v>
      </c>
      <c r="AR36" s="32">
        <v>10652</v>
      </c>
    </row>
    <row r="37" spans="1:44" x14ac:dyDescent="0.3">
      <c r="A37" s="45" t="s">
        <v>73</v>
      </c>
      <c r="B37" s="45" t="s">
        <v>175</v>
      </c>
      <c r="C37" s="21" t="s">
        <v>287</v>
      </c>
      <c r="D37" s="33" t="s">
        <v>133</v>
      </c>
      <c r="E37" s="21" t="s">
        <v>262</v>
      </c>
      <c r="F37" s="33" t="s">
        <v>52</v>
      </c>
      <c r="G37" s="39">
        <v>44342</v>
      </c>
      <c r="H37" s="33">
        <v>85</v>
      </c>
      <c r="I37" s="33">
        <v>20</v>
      </c>
      <c r="J37" s="33">
        <v>12</v>
      </c>
      <c r="K37" s="33">
        <v>1</v>
      </c>
      <c r="L37" s="33">
        <v>2898</v>
      </c>
      <c r="M37" s="33">
        <v>5</v>
      </c>
      <c r="N37" s="33">
        <v>25000000</v>
      </c>
      <c r="O37" s="33">
        <v>30000000</v>
      </c>
      <c r="P37" s="33">
        <v>0</v>
      </c>
      <c r="Q37" s="33">
        <v>0</v>
      </c>
      <c r="R37" s="33">
        <v>19900</v>
      </c>
      <c r="S37" s="40">
        <v>6.8668046928916491</v>
      </c>
      <c r="T37" s="33">
        <v>19900</v>
      </c>
      <c r="U37" s="40">
        <v>6.8668046928916491</v>
      </c>
      <c r="V37" s="33">
        <v>0</v>
      </c>
      <c r="W37" s="33">
        <v>0</v>
      </c>
      <c r="X37" s="33">
        <v>33</v>
      </c>
      <c r="Y37" s="33">
        <v>30</v>
      </c>
      <c r="Z37" s="33">
        <v>23</v>
      </c>
      <c r="AA37" s="33">
        <v>2.5999999999999999E-2</v>
      </c>
      <c r="AB37" s="33">
        <v>0.01</v>
      </c>
      <c r="AC37" s="33">
        <v>6.3E-2</v>
      </c>
      <c r="AD37" s="33">
        <v>0.125</v>
      </c>
      <c r="AE37" s="41">
        <v>158.80000000000001</v>
      </c>
      <c r="AF37" s="33">
        <v>0</v>
      </c>
      <c r="AG37" s="42">
        <v>49.9</v>
      </c>
      <c r="AH37" s="33">
        <v>0</v>
      </c>
      <c r="AI37" s="33">
        <v>75000</v>
      </c>
      <c r="AJ37" s="33">
        <v>0.35</v>
      </c>
      <c r="AK37" s="42">
        <v>71</v>
      </c>
      <c r="AL37" s="42">
        <v>53</v>
      </c>
      <c r="AM37" s="43">
        <v>1500</v>
      </c>
      <c r="AN37" s="43">
        <v>15</v>
      </c>
      <c r="AO37" s="33">
        <v>10</v>
      </c>
      <c r="AP37" s="44">
        <v>10</v>
      </c>
      <c r="AQ37" s="44">
        <v>10</v>
      </c>
      <c r="AR37" s="32">
        <v>12415</v>
      </c>
    </row>
    <row r="38" spans="1:44" s="139" customFormat="1" x14ac:dyDescent="0.3">
      <c r="A38" s="132" t="s">
        <v>74</v>
      </c>
      <c r="B38" s="140" t="s">
        <v>184</v>
      </c>
      <c r="C38" s="132" t="s">
        <v>165</v>
      </c>
      <c r="D38" s="132" t="s">
        <v>133</v>
      </c>
      <c r="E38" s="132" t="s">
        <v>300</v>
      </c>
      <c r="F38" s="132" t="s">
        <v>75</v>
      </c>
      <c r="G38" s="133">
        <v>44342</v>
      </c>
      <c r="H38" s="132">
        <v>85</v>
      </c>
      <c r="I38" s="132">
        <v>13.5</v>
      </c>
      <c r="J38" s="132">
        <v>12</v>
      </c>
      <c r="K38" s="132">
        <v>1</v>
      </c>
      <c r="L38" s="132">
        <v>1863</v>
      </c>
      <c r="M38" s="132">
        <v>5</v>
      </c>
      <c r="N38" s="132">
        <v>20900000</v>
      </c>
      <c r="O38" s="132">
        <v>0</v>
      </c>
      <c r="P38" s="132">
        <v>0</v>
      </c>
      <c r="Q38" s="132">
        <v>0</v>
      </c>
      <c r="R38" s="132">
        <v>15300</v>
      </c>
      <c r="S38" s="134">
        <v>8.2125603864734291</v>
      </c>
      <c r="T38" s="132">
        <v>15300</v>
      </c>
      <c r="U38" s="134">
        <v>8.2125603864734291</v>
      </c>
      <c r="V38" s="132">
        <v>15300</v>
      </c>
      <c r="W38" s="132">
        <v>0</v>
      </c>
      <c r="X38" s="132">
        <v>33</v>
      </c>
      <c r="Y38" s="132">
        <v>30</v>
      </c>
      <c r="Z38" s="132">
        <v>11</v>
      </c>
      <c r="AA38" s="132">
        <v>1.0999999999999999E-2</v>
      </c>
      <c r="AB38" s="132">
        <v>1.4999999999999999E-2</v>
      </c>
      <c r="AC38" s="132">
        <v>5.3999999999999999E-2</v>
      </c>
      <c r="AD38" s="132">
        <v>0.125</v>
      </c>
      <c r="AE38" s="135">
        <v>45.2</v>
      </c>
      <c r="AF38" s="132">
        <v>0</v>
      </c>
      <c r="AG38" s="136">
        <v>49.9</v>
      </c>
      <c r="AH38" s="132">
        <v>0</v>
      </c>
      <c r="AI38" s="132">
        <v>75000</v>
      </c>
      <c r="AJ38" s="132">
        <v>0.35</v>
      </c>
      <c r="AK38" s="136">
        <v>71</v>
      </c>
      <c r="AL38" s="136">
        <v>53</v>
      </c>
      <c r="AM38" s="137">
        <v>1500</v>
      </c>
      <c r="AN38" s="137">
        <v>15</v>
      </c>
      <c r="AO38" s="132">
        <v>10</v>
      </c>
      <c r="AP38" s="138">
        <v>10</v>
      </c>
      <c r="AQ38" s="138">
        <v>10</v>
      </c>
      <c r="AR38" s="139">
        <v>4700</v>
      </c>
    </row>
    <row r="39" spans="1:44" s="96" customFormat="1" x14ac:dyDescent="0.3">
      <c r="A39" s="88" t="s">
        <v>74</v>
      </c>
      <c r="B39" s="97" t="s">
        <v>184</v>
      </c>
      <c r="C39" s="98" t="s">
        <v>268</v>
      </c>
      <c r="D39" s="88" t="s">
        <v>133</v>
      </c>
      <c r="E39" s="98" t="s">
        <v>296</v>
      </c>
      <c r="F39" s="88" t="s">
        <v>75</v>
      </c>
      <c r="G39" s="89">
        <v>44342</v>
      </c>
      <c r="H39" s="101">
        <v>90</v>
      </c>
      <c r="I39" s="88">
        <v>18</v>
      </c>
      <c r="J39" s="88">
        <v>12</v>
      </c>
      <c r="K39" s="88">
        <v>1</v>
      </c>
      <c r="L39" s="88">
        <v>1863</v>
      </c>
      <c r="M39" s="88">
        <v>5</v>
      </c>
      <c r="N39" s="88">
        <v>20900000</v>
      </c>
      <c r="O39" s="88">
        <v>0</v>
      </c>
      <c r="P39" s="88">
        <v>0</v>
      </c>
      <c r="Q39" s="88">
        <v>0</v>
      </c>
      <c r="R39" s="88">
        <v>15300</v>
      </c>
      <c r="S39" s="90">
        <v>8.2125603864734291</v>
      </c>
      <c r="T39" s="88">
        <v>15300</v>
      </c>
      <c r="U39" s="90">
        <v>8.2125603864734291</v>
      </c>
      <c r="V39" s="88">
        <v>15300</v>
      </c>
      <c r="W39" s="88">
        <v>0</v>
      </c>
      <c r="X39" s="88">
        <v>33</v>
      </c>
      <c r="Y39" s="88">
        <v>30</v>
      </c>
      <c r="Z39" s="88">
        <v>11</v>
      </c>
      <c r="AA39" s="88">
        <v>1.0999999999999999E-2</v>
      </c>
      <c r="AB39" s="88">
        <v>1.4999999999999999E-2</v>
      </c>
      <c r="AC39" s="88">
        <v>5.3999999999999999E-2</v>
      </c>
      <c r="AD39" s="88">
        <v>0.125</v>
      </c>
      <c r="AE39" s="91">
        <v>45.2</v>
      </c>
      <c r="AF39" s="88">
        <v>0</v>
      </c>
      <c r="AG39" s="92">
        <v>49.9</v>
      </c>
      <c r="AH39" s="88">
        <v>0</v>
      </c>
      <c r="AI39" s="88">
        <v>75000</v>
      </c>
      <c r="AJ39" s="88">
        <v>0.35</v>
      </c>
      <c r="AK39" s="92">
        <v>71</v>
      </c>
      <c r="AL39" s="92">
        <v>53</v>
      </c>
      <c r="AM39" s="93">
        <v>1500</v>
      </c>
      <c r="AN39" s="93">
        <v>15</v>
      </c>
      <c r="AO39" s="88">
        <v>10</v>
      </c>
      <c r="AP39" s="94">
        <v>10</v>
      </c>
      <c r="AQ39" s="94">
        <v>10</v>
      </c>
      <c r="AR39" s="95">
        <v>4700</v>
      </c>
    </row>
    <row r="40" spans="1:44" s="96" customFormat="1" x14ac:dyDescent="0.3">
      <c r="A40" s="87" t="s">
        <v>73</v>
      </c>
      <c r="B40" s="108" t="s">
        <v>177</v>
      </c>
      <c r="C40" s="88" t="s">
        <v>294</v>
      </c>
      <c r="D40" s="98" t="s">
        <v>51</v>
      </c>
      <c r="E40" s="98" t="s">
        <v>266</v>
      </c>
      <c r="F40" s="88" t="s">
        <v>52</v>
      </c>
      <c r="G40" s="89">
        <v>44342</v>
      </c>
      <c r="H40" s="88">
        <v>85</v>
      </c>
      <c r="I40" s="33">
        <v>20</v>
      </c>
      <c r="J40" s="88">
        <v>12</v>
      </c>
      <c r="K40" s="88">
        <v>1</v>
      </c>
      <c r="L40" s="88">
        <v>2898</v>
      </c>
      <c r="M40" s="88">
        <v>5</v>
      </c>
      <c r="N40" s="88">
        <v>25000000</v>
      </c>
      <c r="O40" s="88">
        <v>30000000</v>
      </c>
      <c r="P40" s="88">
        <v>0</v>
      </c>
      <c r="Q40" s="88">
        <v>0</v>
      </c>
      <c r="R40" s="88">
        <v>19900</v>
      </c>
      <c r="S40" s="90">
        <v>6.8668046928916491</v>
      </c>
      <c r="T40" s="88">
        <v>19900</v>
      </c>
      <c r="U40" s="90">
        <v>6.8668046928916491</v>
      </c>
      <c r="V40" s="88">
        <v>0</v>
      </c>
      <c r="W40" s="88">
        <v>0</v>
      </c>
      <c r="X40" s="88">
        <v>33</v>
      </c>
      <c r="Y40" s="88">
        <v>30</v>
      </c>
      <c r="Z40" s="88">
        <v>11</v>
      </c>
      <c r="AA40" s="88">
        <v>1.0999999999999999E-2</v>
      </c>
      <c r="AB40" s="88">
        <v>1.4999999999999999E-2</v>
      </c>
      <c r="AC40" s="88">
        <v>5.3999999999999999E-2</v>
      </c>
      <c r="AD40" s="88">
        <v>0.125</v>
      </c>
      <c r="AE40" s="91">
        <v>158.80000000000001</v>
      </c>
      <c r="AF40" s="88">
        <v>0</v>
      </c>
      <c r="AG40" s="92">
        <v>49.9</v>
      </c>
      <c r="AH40" s="88">
        <v>0</v>
      </c>
      <c r="AI40" s="88">
        <v>75000</v>
      </c>
      <c r="AJ40" s="88">
        <v>0.35</v>
      </c>
      <c r="AK40" s="92">
        <v>71</v>
      </c>
      <c r="AL40" s="92">
        <v>53</v>
      </c>
      <c r="AM40" s="93">
        <v>1500</v>
      </c>
      <c r="AN40" s="93">
        <v>15</v>
      </c>
      <c r="AO40" s="88">
        <v>10</v>
      </c>
      <c r="AP40" s="94">
        <v>10</v>
      </c>
      <c r="AQ40" s="94">
        <v>10</v>
      </c>
      <c r="AR40" s="95">
        <v>4700</v>
      </c>
    </row>
    <row r="41" spans="1:44" x14ac:dyDescent="0.3">
      <c r="A41" s="33" t="s">
        <v>53</v>
      </c>
      <c r="B41" s="72" t="s">
        <v>218</v>
      </c>
      <c r="C41" s="71" t="s">
        <v>269</v>
      </c>
      <c r="D41" s="33" t="s">
        <v>133</v>
      </c>
      <c r="E41" s="21" t="s">
        <v>197</v>
      </c>
      <c r="F41" s="33" t="s">
        <v>54</v>
      </c>
      <c r="G41" s="39">
        <v>44348</v>
      </c>
      <c r="H41" s="71">
        <v>85</v>
      </c>
      <c r="I41" s="33">
        <v>17</v>
      </c>
      <c r="J41" s="33">
        <v>12</v>
      </c>
      <c r="K41" s="33">
        <v>1</v>
      </c>
      <c r="L41" s="33">
        <v>2415</v>
      </c>
      <c r="M41" s="33">
        <v>5</v>
      </c>
      <c r="N41" s="33">
        <v>4200000</v>
      </c>
      <c r="O41" s="33">
        <v>0</v>
      </c>
      <c r="P41" s="33">
        <v>2000000</v>
      </c>
      <c r="Q41" s="33">
        <v>0</v>
      </c>
      <c r="R41" s="33">
        <v>19900</v>
      </c>
      <c r="S41" s="40">
        <v>8.2401656314699796</v>
      </c>
      <c r="T41" s="33">
        <v>19900</v>
      </c>
      <c r="U41" s="40">
        <v>8.2401656314699796</v>
      </c>
      <c r="V41" s="33">
        <v>19900</v>
      </c>
      <c r="W41" s="33">
        <v>0</v>
      </c>
      <c r="X41" s="33">
        <v>33</v>
      </c>
      <c r="Y41" s="33">
        <v>30</v>
      </c>
      <c r="Z41" s="33">
        <v>11</v>
      </c>
      <c r="AA41" s="33">
        <v>5.8000000000000003E-2</v>
      </c>
      <c r="AB41" s="33">
        <v>5.5E-2</v>
      </c>
      <c r="AC41" s="33">
        <v>0.02</v>
      </c>
      <c r="AD41" s="33">
        <v>0.125</v>
      </c>
      <c r="AE41" s="41">
        <v>45.2</v>
      </c>
      <c r="AF41" s="33">
        <v>0</v>
      </c>
      <c r="AG41" s="42">
        <v>49.9</v>
      </c>
      <c r="AH41" s="33">
        <v>0</v>
      </c>
      <c r="AI41" s="33">
        <v>75000</v>
      </c>
      <c r="AJ41" s="33">
        <v>0</v>
      </c>
      <c r="AK41" s="42">
        <v>0</v>
      </c>
      <c r="AL41" s="42">
        <v>0</v>
      </c>
      <c r="AM41" s="43">
        <v>1500</v>
      </c>
      <c r="AN41" s="43">
        <v>15</v>
      </c>
      <c r="AO41" s="33">
        <v>10</v>
      </c>
      <c r="AP41" s="44">
        <v>10</v>
      </c>
      <c r="AQ41" s="44">
        <v>10</v>
      </c>
      <c r="AR41" s="32">
        <v>100</v>
      </c>
    </row>
    <row r="42" spans="1:44" x14ac:dyDescent="0.3">
      <c r="A42" s="33" t="s">
        <v>73</v>
      </c>
      <c r="B42" s="71" t="s">
        <v>206</v>
      </c>
      <c r="C42" s="71" t="s">
        <v>270</v>
      </c>
      <c r="D42" s="33" t="s">
        <v>133</v>
      </c>
      <c r="E42" s="21" t="s">
        <v>197</v>
      </c>
      <c r="F42" s="33" t="s">
        <v>52</v>
      </c>
      <c r="G42" s="39">
        <v>44348</v>
      </c>
      <c r="H42" s="71">
        <v>85</v>
      </c>
      <c r="I42" s="33">
        <v>17</v>
      </c>
      <c r="J42" s="33">
        <v>10</v>
      </c>
      <c r="K42" s="33">
        <v>1</v>
      </c>
      <c r="L42" s="33">
        <v>2415</v>
      </c>
      <c r="M42" s="33">
        <v>5</v>
      </c>
      <c r="N42" s="33">
        <v>25000000</v>
      </c>
      <c r="O42" s="33">
        <v>0</v>
      </c>
      <c r="P42" s="33">
        <v>0</v>
      </c>
      <c r="Q42" s="33">
        <v>0</v>
      </c>
      <c r="R42" s="33">
        <v>19900</v>
      </c>
      <c r="S42" s="40">
        <v>8.2401656314699796</v>
      </c>
      <c r="T42" s="33">
        <v>19900</v>
      </c>
      <c r="U42" s="40">
        <v>8.2401656314699796</v>
      </c>
      <c r="V42" s="33">
        <v>0</v>
      </c>
      <c r="W42" s="33">
        <v>0</v>
      </c>
      <c r="X42" s="33">
        <v>33</v>
      </c>
      <c r="Y42" s="33">
        <v>30</v>
      </c>
      <c r="Z42" s="33">
        <v>15</v>
      </c>
      <c r="AA42" s="33">
        <v>1.0999999999999999E-2</v>
      </c>
      <c r="AB42" s="33">
        <v>1.4999999999999999E-2</v>
      </c>
      <c r="AC42" s="33">
        <v>5.3999999999999999E-2</v>
      </c>
      <c r="AD42" s="33">
        <v>0.125</v>
      </c>
      <c r="AE42" s="41">
        <v>45.2</v>
      </c>
      <c r="AF42" s="33">
        <v>0</v>
      </c>
      <c r="AG42" s="42">
        <v>49.9</v>
      </c>
      <c r="AH42" s="33">
        <v>0</v>
      </c>
      <c r="AI42" s="33">
        <v>75000</v>
      </c>
      <c r="AJ42" s="33">
        <v>0.35</v>
      </c>
      <c r="AK42" s="42">
        <v>71</v>
      </c>
      <c r="AL42" s="42">
        <v>53</v>
      </c>
      <c r="AM42" s="43">
        <v>1500</v>
      </c>
      <c r="AN42" s="43">
        <v>15</v>
      </c>
      <c r="AO42" s="33">
        <v>10</v>
      </c>
      <c r="AP42" s="44">
        <v>10</v>
      </c>
      <c r="AQ42" s="44">
        <v>10</v>
      </c>
      <c r="AR42" s="32">
        <v>100</v>
      </c>
    </row>
    <row r="43" spans="1:44" x14ac:dyDescent="0.3">
      <c r="A43" s="33" t="s">
        <v>73</v>
      </c>
      <c r="B43" s="33" t="s">
        <v>176</v>
      </c>
      <c r="C43" s="33" t="s">
        <v>271</v>
      </c>
      <c r="D43" s="33" t="s">
        <v>51</v>
      </c>
      <c r="E43" s="21" t="s">
        <v>252</v>
      </c>
      <c r="F43" s="33" t="s">
        <v>52</v>
      </c>
      <c r="G43" s="39">
        <v>44342</v>
      </c>
      <c r="H43" s="33">
        <v>90</v>
      </c>
      <c r="I43" s="33">
        <v>20</v>
      </c>
      <c r="J43" s="33">
        <v>12</v>
      </c>
      <c r="K43" s="33">
        <v>1</v>
      </c>
      <c r="L43" s="33">
        <v>2415</v>
      </c>
      <c r="M43" s="33">
        <v>5</v>
      </c>
      <c r="N43" s="33">
        <v>17400000</v>
      </c>
      <c r="O43" s="33">
        <v>0</v>
      </c>
      <c r="P43" s="33">
        <v>0</v>
      </c>
      <c r="Q43" s="33">
        <v>0</v>
      </c>
      <c r="R43" s="33">
        <v>14024</v>
      </c>
      <c r="S43" s="40">
        <v>5.8070393374741203</v>
      </c>
      <c r="T43" s="33">
        <v>14024</v>
      </c>
      <c r="U43" s="40">
        <v>5.8070393374741203</v>
      </c>
      <c r="V43" s="33">
        <v>14024</v>
      </c>
      <c r="W43" s="33">
        <v>0</v>
      </c>
      <c r="X43" s="33">
        <v>33</v>
      </c>
      <c r="Y43" s="33">
        <v>30</v>
      </c>
      <c r="Z43" s="33">
        <v>12</v>
      </c>
      <c r="AA43" s="33">
        <v>2.5999999999999999E-2</v>
      </c>
      <c r="AB43" s="33">
        <v>0.01</v>
      </c>
      <c r="AC43" s="33">
        <v>6.3E-2</v>
      </c>
      <c r="AD43" s="33">
        <v>0.125</v>
      </c>
      <c r="AE43" s="41">
        <v>45.2</v>
      </c>
      <c r="AF43" s="33">
        <v>0</v>
      </c>
      <c r="AG43" s="42">
        <v>49.9</v>
      </c>
      <c r="AH43" s="33">
        <v>0</v>
      </c>
      <c r="AI43" s="33">
        <v>75000</v>
      </c>
      <c r="AJ43" s="33">
        <v>0.35</v>
      </c>
      <c r="AK43" s="42">
        <v>71</v>
      </c>
      <c r="AL43" s="42">
        <v>53</v>
      </c>
      <c r="AM43" s="43">
        <v>1500</v>
      </c>
      <c r="AN43" s="43">
        <v>15</v>
      </c>
      <c r="AO43" s="33">
        <v>10</v>
      </c>
      <c r="AP43" s="44">
        <v>10</v>
      </c>
      <c r="AQ43" s="44">
        <v>10</v>
      </c>
      <c r="AR43" s="32">
        <v>5976</v>
      </c>
    </row>
    <row r="44" spans="1:44" s="96" customFormat="1" x14ac:dyDescent="0.3">
      <c r="A44" s="98" t="s">
        <v>53</v>
      </c>
      <c r="B44" s="119" t="s">
        <v>171</v>
      </c>
      <c r="C44" s="98" t="s">
        <v>272</v>
      </c>
      <c r="D44" s="98" t="s">
        <v>133</v>
      </c>
      <c r="E44" s="98" t="s">
        <v>298</v>
      </c>
      <c r="F44" s="98" t="s">
        <v>54</v>
      </c>
      <c r="G44" s="120">
        <v>44342</v>
      </c>
      <c r="H44" s="98">
        <v>85</v>
      </c>
      <c r="I44" s="88">
        <v>18</v>
      </c>
      <c r="J44" s="98">
        <v>12</v>
      </c>
      <c r="K44" s="98">
        <v>1</v>
      </c>
      <c r="L44" s="98">
        <v>2622</v>
      </c>
      <c r="M44" s="98">
        <v>5</v>
      </c>
      <c r="N44" s="98">
        <v>22500000</v>
      </c>
      <c r="O44" s="98">
        <v>0</v>
      </c>
      <c r="P44" s="98">
        <v>1500000</v>
      </c>
      <c r="Q44" s="98">
        <v>0</v>
      </c>
      <c r="R44" s="98">
        <v>12849</v>
      </c>
      <c r="S44" s="121">
        <v>4.9004576659038905</v>
      </c>
      <c r="T44" s="98">
        <v>0</v>
      </c>
      <c r="U44" s="121">
        <v>0</v>
      </c>
      <c r="V44" s="98">
        <v>5000</v>
      </c>
      <c r="W44" s="98">
        <v>0</v>
      </c>
      <c r="X44" s="98">
        <v>46</v>
      </c>
      <c r="Y44" s="98">
        <v>30</v>
      </c>
      <c r="Z44" s="98">
        <v>11</v>
      </c>
      <c r="AA44" s="98">
        <v>5.8000000000000003E-2</v>
      </c>
      <c r="AB44" s="98">
        <v>5.5E-2</v>
      </c>
      <c r="AC44" s="98">
        <v>0.02</v>
      </c>
      <c r="AD44" s="98">
        <v>0.125</v>
      </c>
      <c r="AE44" s="122">
        <v>158.80000000000001</v>
      </c>
      <c r="AF44" s="98">
        <v>0</v>
      </c>
      <c r="AG44" s="123">
        <v>84.920634920634924</v>
      </c>
      <c r="AH44" s="98">
        <v>0</v>
      </c>
      <c r="AI44" s="98">
        <v>75000</v>
      </c>
      <c r="AJ44" s="98">
        <v>0</v>
      </c>
      <c r="AK44" s="123">
        <v>0</v>
      </c>
      <c r="AL44" s="123">
        <v>0</v>
      </c>
      <c r="AM44" s="124">
        <v>1500</v>
      </c>
      <c r="AN44" s="124">
        <v>15</v>
      </c>
      <c r="AO44" s="98">
        <v>10</v>
      </c>
      <c r="AP44" s="125">
        <v>10</v>
      </c>
      <c r="AQ44" s="125">
        <v>10</v>
      </c>
      <c r="AR44" s="96">
        <v>7151</v>
      </c>
    </row>
    <row r="45" spans="1:44" s="96" customFormat="1" x14ac:dyDescent="0.3">
      <c r="A45" s="118" t="s">
        <v>73</v>
      </c>
      <c r="B45" s="119" t="s">
        <v>175</v>
      </c>
      <c r="C45" s="98" t="s">
        <v>273</v>
      </c>
      <c r="D45" s="98" t="s">
        <v>133</v>
      </c>
      <c r="E45" s="98" t="s">
        <v>298</v>
      </c>
      <c r="F45" s="98" t="s">
        <v>52</v>
      </c>
      <c r="G45" s="120">
        <v>44342</v>
      </c>
      <c r="H45" s="98">
        <v>85</v>
      </c>
      <c r="I45" s="88">
        <v>18</v>
      </c>
      <c r="J45" s="98">
        <v>12</v>
      </c>
      <c r="K45" s="98">
        <v>1</v>
      </c>
      <c r="L45" s="98">
        <v>2622</v>
      </c>
      <c r="M45" s="98">
        <v>5</v>
      </c>
      <c r="N45" s="98">
        <v>18600000</v>
      </c>
      <c r="O45" s="98">
        <v>20000000</v>
      </c>
      <c r="P45" s="98">
        <v>0</v>
      </c>
      <c r="Q45" s="98">
        <v>0</v>
      </c>
      <c r="R45" s="98">
        <v>15644</v>
      </c>
      <c r="S45" s="121">
        <v>5.9664378337147213</v>
      </c>
      <c r="T45" s="98">
        <v>15644</v>
      </c>
      <c r="U45" s="121">
        <v>5.9664378337147213</v>
      </c>
      <c r="V45" s="98">
        <v>15644</v>
      </c>
      <c r="W45" s="98">
        <v>0</v>
      </c>
      <c r="X45" s="98">
        <v>33</v>
      </c>
      <c r="Y45" s="98">
        <v>30</v>
      </c>
      <c r="Z45" s="98">
        <v>15</v>
      </c>
      <c r="AA45" s="98">
        <v>2.5999999999999999E-2</v>
      </c>
      <c r="AB45" s="98">
        <v>0.01</v>
      </c>
      <c r="AC45" s="98">
        <v>6.3E-2</v>
      </c>
      <c r="AD45" s="98">
        <v>0.125</v>
      </c>
      <c r="AE45" s="122">
        <v>90.4</v>
      </c>
      <c r="AF45" s="98">
        <v>0</v>
      </c>
      <c r="AG45" s="123">
        <v>193.63636363636363</v>
      </c>
      <c r="AH45" s="98">
        <v>0</v>
      </c>
      <c r="AI45" s="98">
        <v>75000</v>
      </c>
      <c r="AJ45" s="98">
        <v>0.35</v>
      </c>
      <c r="AK45" s="123">
        <v>71</v>
      </c>
      <c r="AL45" s="123">
        <v>53</v>
      </c>
      <c r="AM45" s="124">
        <v>1500</v>
      </c>
      <c r="AN45" s="124">
        <v>15</v>
      </c>
      <c r="AO45" s="98">
        <v>10</v>
      </c>
      <c r="AP45" s="125">
        <v>10</v>
      </c>
      <c r="AQ45" s="125">
        <v>10</v>
      </c>
      <c r="AR45" s="96">
        <v>4356</v>
      </c>
    </row>
    <row r="46" spans="1:44" s="139" customFormat="1" x14ac:dyDescent="0.3">
      <c r="A46" s="132" t="s">
        <v>53</v>
      </c>
      <c r="B46" s="140" t="s">
        <v>171</v>
      </c>
      <c r="C46" s="132" t="s">
        <v>274</v>
      </c>
      <c r="D46" s="132" t="s">
        <v>133</v>
      </c>
      <c r="E46" s="132" t="s">
        <v>304</v>
      </c>
      <c r="F46" s="132" t="s">
        <v>54</v>
      </c>
      <c r="G46" s="133">
        <v>44342</v>
      </c>
      <c r="H46" s="132">
        <v>85</v>
      </c>
      <c r="I46" s="132">
        <v>19</v>
      </c>
      <c r="J46" s="132">
        <v>12</v>
      </c>
      <c r="K46" s="132">
        <v>1</v>
      </c>
      <c r="L46" s="132">
        <v>2622</v>
      </c>
      <c r="M46" s="132">
        <v>5</v>
      </c>
      <c r="N46" s="132">
        <v>22500000</v>
      </c>
      <c r="O46" s="132">
        <v>0</v>
      </c>
      <c r="P46" s="132">
        <v>1500000</v>
      </c>
      <c r="Q46" s="132">
        <v>0</v>
      </c>
      <c r="R46" s="132">
        <v>12849</v>
      </c>
      <c r="S46" s="134">
        <v>4.9004576659038905</v>
      </c>
      <c r="T46" s="132">
        <v>12849</v>
      </c>
      <c r="U46" s="134">
        <v>4.9004576659038905</v>
      </c>
      <c r="V46" s="132">
        <v>5000</v>
      </c>
      <c r="W46" s="132">
        <v>0</v>
      </c>
      <c r="X46" s="132">
        <v>46</v>
      </c>
      <c r="Y46" s="132">
        <v>30</v>
      </c>
      <c r="Z46" s="132">
        <v>11</v>
      </c>
      <c r="AA46" s="132">
        <v>5.8000000000000003E-2</v>
      </c>
      <c r="AB46" s="132">
        <v>5.5E-2</v>
      </c>
      <c r="AC46" s="132">
        <v>0.02</v>
      </c>
      <c r="AD46" s="132">
        <v>0.125</v>
      </c>
      <c r="AE46" s="135">
        <v>158.80000000000001</v>
      </c>
      <c r="AF46" s="132">
        <v>0</v>
      </c>
      <c r="AG46" s="136">
        <v>84.920634920634924</v>
      </c>
      <c r="AH46" s="132">
        <v>0</v>
      </c>
      <c r="AI46" s="132">
        <v>75000</v>
      </c>
      <c r="AJ46" s="132">
        <v>0</v>
      </c>
      <c r="AK46" s="136">
        <v>0</v>
      </c>
      <c r="AL46" s="136">
        <v>0</v>
      </c>
      <c r="AM46" s="137">
        <v>1500</v>
      </c>
      <c r="AN46" s="137">
        <v>15</v>
      </c>
      <c r="AO46" s="132">
        <v>10</v>
      </c>
      <c r="AP46" s="138">
        <v>10</v>
      </c>
      <c r="AQ46" s="138">
        <v>10</v>
      </c>
      <c r="AR46" s="139">
        <v>7151</v>
      </c>
    </row>
    <row r="47" spans="1:44" s="96" customFormat="1" x14ac:dyDescent="0.3">
      <c r="A47" s="109" t="s">
        <v>73</v>
      </c>
      <c r="B47" s="110" t="s">
        <v>175</v>
      </c>
      <c r="C47" s="109" t="s">
        <v>275</v>
      </c>
      <c r="D47" s="109" t="s">
        <v>133</v>
      </c>
      <c r="E47" s="98" t="s">
        <v>296</v>
      </c>
      <c r="F47" s="109" t="s">
        <v>52</v>
      </c>
      <c r="G47" s="111">
        <v>44342</v>
      </c>
      <c r="H47" s="109">
        <v>85</v>
      </c>
      <c r="I47" s="88">
        <v>18</v>
      </c>
      <c r="J47" s="109">
        <v>12</v>
      </c>
      <c r="K47" s="109">
        <v>1</v>
      </c>
      <c r="L47" s="109">
        <v>2622</v>
      </c>
      <c r="M47" s="109">
        <v>5</v>
      </c>
      <c r="N47" s="109">
        <v>18600000</v>
      </c>
      <c r="O47" s="109">
        <v>20000000</v>
      </c>
      <c r="P47" s="109">
        <v>0</v>
      </c>
      <c r="Q47" s="109">
        <v>0</v>
      </c>
      <c r="R47" s="109">
        <v>15644</v>
      </c>
      <c r="S47" s="112">
        <v>5.9664378337147213</v>
      </c>
      <c r="T47" s="109">
        <v>15644</v>
      </c>
      <c r="U47" s="112">
        <v>5.9664378337147213</v>
      </c>
      <c r="V47" s="109">
        <v>5000</v>
      </c>
      <c r="W47" s="109">
        <v>0</v>
      </c>
      <c r="X47" s="109">
        <v>33</v>
      </c>
      <c r="Y47" s="109">
        <v>30</v>
      </c>
      <c r="Z47" s="109">
        <v>15</v>
      </c>
      <c r="AA47" s="109">
        <v>2.5999999999999999E-2</v>
      </c>
      <c r="AB47" s="109">
        <v>0.01</v>
      </c>
      <c r="AC47" s="109">
        <v>6.3E-2</v>
      </c>
      <c r="AD47" s="109">
        <v>0.125</v>
      </c>
      <c r="AE47" s="113">
        <v>90.4</v>
      </c>
      <c r="AF47" s="109">
        <v>0</v>
      </c>
      <c r="AG47" s="114">
        <v>193.63636363636363</v>
      </c>
      <c r="AH47" s="109">
        <v>0</v>
      </c>
      <c r="AI47" s="109">
        <v>75000</v>
      </c>
      <c r="AJ47" s="109">
        <v>0.35</v>
      </c>
      <c r="AK47" s="114">
        <v>71</v>
      </c>
      <c r="AL47" s="114">
        <v>53</v>
      </c>
      <c r="AM47" s="115">
        <v>1500</v>
      </c>
      <c r="AN47" s="115">
        <v>15</v>
      </c>
      <c r="AO47" s="109">
        <v>10</v>
      </c>
      <c r="AP47" s="116">
        <v>10</v>
      </c>
      <c r="AQ47" s="116">
        <v>10</v>
      </c>
      <c r="AR47" s="117">
        <v>4356</v>
      </c>
    </row>
    <row r="48" spans="1:44" x14ac:dyDescent="0.3">
      <c r="A48" s="33" t="s">
        <v>53</v>
      </c>
      <c r="B48" s="72" t="s">
        <v>218</v>
      </c>
      <c r="C48" s="71" t="s">
        <v>276</v>
      </c>
      <c r="D48" s="33" t="s">
        <v>133</v>
      </c>
      <c r="E48" s="33" t="s">
        <v>197</v>
      </c>
      <c r="F48" s="33" t="s">
        <v>54</v>
      </c>
      <c r="G48" s="39">
        <v>44348</v>
      </c>
      <c r="H48" s="33">
        <v>85</v>
      </c>
      <c r="I48" s="33">
        <v>17</v>
      </c>
      <c r="J48" s="33">
        <v>12</v>
      </c>
      <c r="K48" s="33">
        <v>1</v>
      </c>
      <c r="L48" s="33">
        <v>2898</v>
      </c>
      <c r="M48" s="33">
        <v>5</v>
      </c>
      <c r="N48" s="33">
        <v>4200000</v>
      </c>
      <c r="O48" s="33">
        <v>0</v>
      </c>
      <c r="P48" s="33">
        <v>2000000</v>
      </c>
      <c r="Q48" s="33">
        <v>0</v>
      </c>
      <c r="R48" s="33">
        <v>19900</v>
      </c>
      <c r="S48" s="40">
        <v>6.8668046928916491</v>
      </c>
      <c r="T48" s="33">
        <v>19900</v>
      </c>
      <c r="U48" s="70">
        <v>6.8668046928916491</v>
      </c>
      <c r="V48" s="33">
        <v>19900</v>
      </c>
      <c r="W48" s="33">
        <v>0</v>
      </c>
      <c r="X48" s="33">
        <v>33</v>
      </c>
      <c r="Y48" s="33">
        <v>30</v>
      </c>
      <c r="Z48" s="33">
        <v>11</v>
      </c>
      <c r="AA48" s="33">
        <v>5.8000000000000003E-2</v>
      </c>
      <c r="AB48" s="33">
        <v>5.5E-2</v>
      </c>
      <c r="AC48" s="33">
        <v>0.02</v>
      </c>
      <c r="AD48" s="33">
        <v>0.125</v>
      </c>
      <c r="AE48" s="41">
        <v>158.80000000000001</v>
      </c>
      <c r="AF48" s="33">
        <v>0</v>
      </c>
      <c r="AG48" s="42">
        <v>84.920634920634924</v>
      </c>
      <c r="AH48" s="33">
        <v>0</v>
      </c>
      <c r="AI48" s="33">
        <v>75000</v>
      </c>
      <c r="AJ48" s="33">
        <v>0</v>
      </c>
      <c r="AK48" s="42">
        <v>0</v>
      </c>
      <c r="AL48" s="42">
        <v>0</v>
      </c>
      <c r="AM48" s="43">
        <v>1500</v>
      </c>
      <c r="AN48" s="43">
        <v>15</v>
      </c>
      <c r="AO48" s="33">
        <v>10</v>
      </c>
      <c r="AP48" s="44">
        <v>10</v>
      </c>
      <c r="AQ48" s="44">
        <v>10</v>
      </c>
      <c r="AR48" s="32">
        <v>100</v>
      </c>
    </row>
    <row r="49" spans="1:44" x14ac:dyDescent="0.3">
      <c r="A49" s="45" t="s">
        <v>73</v>
      </c>
      <c r="B49" s="71" t="s">
        <v>206</v>
      </c>
      <c r="C49" s="71" t="s">
        <v>196</v>
      </c>
      <c r="D49" s="33" t="s">
        <v>133</v>
      </c>
      <c r="E49" s="33" t="s">
        <v>197</v>
      </c>
      <c r="F49" s="33" t="s">
        <v>52</v>
      </c>
      <c r="G49" s="39">
        <v>44348</v>
      </c>
      <c r="H49" s="33">
        <v>85</v>
      </c>
      <c r="I49" s="33">
        <v>17</v>
      </c>
      <c r="J49" s="33">
        <v>10</v>
      </c>
      <c r="K49" s="33">
        <v>1</v>
      </c>
      <c r="L49" s="33">
        <v>2898</v>
      </c>
      <c r="M49" s="33">
        <v>5</v>
      </c>
      <c r="N49" s="33">
        <v>25000000</v>
      </c>
      <c r="O49" s="33">
        <v>30000000</v>
      </c>
      <c r="P49" s="33">
        <v>0</v>
      </c>
      <c r="Q49" s="33">
        <v>0</v>
      </c>
      <c r="R49" s="33">
        <v>19900</v>
      </c>
      <c r="S49" s="40">
        <v>6.8668046928916491</v>
      </c>
      <c r="T49" s="33">
        <v>19900</v>
      </c>
      <c r="U49" s="40">
        <v>6.8668046928916491</v>
      </c>
      <c r="V49" s="33">
        <v>0</v>
      </c>
      <c r="W49" s="33">
        <v>0</v>
      </c>
      <c r="X49" s="33">
        <v>33</v>
      </c>
      <c r="Y49" s="33">
        <v>30</v>
      </c>
      <c r="Z49" s="33">
        <v>15</v>
      </c>
      <c r="AA49" s="33">
        <v>1.0999999999999999E-2</v>
      </c>
      <c r="AB49" s="33">
        <v>1.4999999999999999E-2</v>
      </c>
      <c r="AC49" s="33">
        <v>5.3999999999999999E-2</v>
      </c>
      <c r="AD49" s="33">
        <v>0.125</v>
      </c>
      <c r="AE49" s="41">
        <v>158.80000000000001</v>
      </c>
      <c r="AF49" s="33">
        <v>0</v>
      </c>
      <c r="AG49" s="42">
        <v>84.920634920634924</v>
      </c>
      <c r="AH49" s="33">
        <v>0</v>
      </c>
      <c r="AI49" s="33">
        <v>75000</v>
      </c>
      <c r="AJ49" s="33">
        <v>0.35</v>
      </c>
      <c r="AK49" s="42">
        <v>71</v>
      </c>
      <c r="AL49" s="42">
        <v>53</v>
      </c>
      <c r="AM49" s="43">
        <v>1500</v>
      </c>
      <c r="AN49" s="43">
        <v>15</v>
      </c>
      <c r="AO49" s="33">
        <v>10</v>
      </c>
      <c r="AP49" s="44">
        <v>10</v>
      </c>
      <c r="AQ49" s="44">
        <v>10</v>
      </c>
      <c r="AR49" s="32">
        <v>100</v>
      </c>
    </row>
    <row r="50" spans="1:44" x14ac:dyDescent="0.3">
      <c r="A50" s="33" t="s">
        <v>73</v>
      </c>
      <c r="B50" s="33" t="s">
        <v>176</v>
      </c>
      <c r="C50" s="33" t="s">
        <v>277</v>
      </c>
      <c r="D50" s="33" t="s">
        <v>51</v>
      </c>
      <c r="E50" s="33" t="s">
        <v>252</v>
      </c>
      <c r="F50" s="33" t="s">
        <v>52</v>
      </c>
      <c r="G50" s="39">
        <v>44342</v>
      </c>
      <c r="H50" s="33">
        <v>90</v>
      </c>
      <c r="I50" s="33">
        <v>20</v>
      </c>
      <c r="J50" s="33">
        <v>12</v>
      </c>
      <c r="K50" s="33">
        <v>1</v>
      </c>
      <c r="L50" s="33">
        <v>2898</v>
      </c>
      <c r="M50" s="33">
        <v>5</v>
      </c>
      <c r="N50" s="33">
        <v>17400000</v>
      </c>
      <c r="O50" s="33">
        <v>14200000</v>
      </c>
      <c r="P50" s="33">
        <v>0</v>
      </c>
      <c r="Q50" s="33">
        <v>0</v>
      </c>
      <c r="R50" s="33">
        <v>14024</v>
      </c>
      <c r="S50" s="40">
        <v>4.8391994478951004</v>
      </c>
      <c r="T50" s="33">
        <v>14024</v>
      </c>
      <c r="U50" s="40">
        <v>4.8391994478951004</v>
      </c>
      <c r="V50" s="33">
        <v>14024</v>
      </c>
      <c r="W50" s="33">
        <v>0</v>
      </c>
      <c r="X50" s="33">
        <v>33</v>
      </c>
      <c r="Y50" s="33">
        <v>30</v>
      </c>
      <c r="Z50" s="33">
        <v>12</v>
      </c>
      <c r="AA50" s="33">
        <v>2.5999999999999999E-2</v>
      </c>
      <c r="AB50" s="33">
        <v>0.01</v>
      </c>
      <c r="AC50" s="33">
        <v>6.3E-2</v>
      </c>
      <c r="AD50" s="33">
        <v>0.125</v>
      </c>
      <c r="AE50" s="41">
        <v>90.4</v>
      </c>
      <c r="AF50" s="33">
        <v>0</v>
      </c>
      <c r="AG50" s="42">
        <v>193.63636363636363</v>
      </c>
      <c r="AH50" s="33">
        <v>0</v>
      </c>
      <c r="AI50" s="33">
        <v>75000</v>
      </c>
      <c r="AJ50" s="33">
        <v>0.35</v>
      </c>
      <c r="AK50" s="42">
        <v>71</v>
      </c>
      <c r="AL50" s="42">
        <v>53</v>
      </c>
      <c r="AM50" s="43">
        <v>1500</v>
      </c>
      <c r="AN50" s="43">
        <v>15</v>
      </c>
      <c r="AO50" s="33">
        <v>10</v>
      </c>
      <c r="AP50" s="44">
        <v>10</v>
      </c>
      <c r="AQ50" s="44">
        <v>10</v>
      </c>
      <c r="AR50" s="32">
        <v>5976</v>
      </c>
    </row>
    <row r="51" spans="1:44" s="139" customFormat="1" x14ac:dyDescent="0.3">
      <c r="A51" s="130" t="s">
        <v>53</v>
      </c>
      <c r="B51" s="140" t="s">
        <v>171</v>
      </c>
      <c r="C51" s="132" t="s">
        <v>278</v>
      </c>
      <c r="D51" s="132" t="s">
        <v>133</v>
      </c>
      <c r="E51" s="132" t="s">
        <v>300</v>
      </c>
      <c r="F51" s="132" t="s">
        <v>54</v>
      </c>
      <c r="G51" s="133">
        <v>44342</v>
      </c>
      <c r="H51" s="132">
        <v>85</v>
      </c>
      <c r="I51" s="132">
        <v>13.5</v>
      </c>
      <c r="J51" s="132">
        <v>12</v>
      </c>
      <c r="K51" s="132">
        <v>1</v>
      </c>
      <c r="L51" s="132">
        <v>1932</v>
      </c>
      <c r="M51" s="132">
        <v>5</v>
      </c>
      <c r="N51" s="132">
        <v>31500000</v>
      </c>
      <c r="O51" s="132">
        <v>0</v>
      </c>
      <c r="P51" s="132">
        <v>2000000</v>
      </c>
      <c r="Q51" s="132">
        <v>0</v>
      </c>
      <c r="R51" s="132">
        <v>9982</v>
      </c>
      <c r="S51" s="134">
        <v>5.166666666666667</v>
      </c>
      <c r="T51" s="132">
        <v>0</v>
      </c>
      <c r="U51" s="134">
        <v>0</v>
      </c>
      <c r="V51" s="132">
        <v>5000</v>
      </c>
      <c r="W51" s="132">
        <v>0</v>
      </c>
      <c r="X51" s="132">
        <v>46</v>
      </c>
      <c r="Y51" s="132">
        <v>30</v>
      </c>
      <c r="Z51" s="132">
        <v>11</v>
      </c>
      <c r="AA51" s="132">
        <v>5.8000000000000003E-2</v>
      </c>
      <c r="AB51" s="132">
        <v>5.5E-2</v>
      </c>
      <c r="AC51" s="132">
        <v>0.02</v>
      </c>
      <c r="AD51" s="132">
        <v>0.125</v>
      </c>
      <c r="AE51" s="135">
        <v>45.2</v>
      </c>
      <c r="AF51" s="132">
        <v>0</v>
      </c>
      <c r="AG51" s="136">
        <v>49.9</v>
      </c>
      <c r="AH51" s="132">
        <v>0</v>
      </c>
      <c r="AI51" s="132">
        <v>75000</v>
      </c>
      <c r="AJ51" s="132">
        <v>0</v>
      </c>
      <c r="AK51" s="136">
        <v>0</v>
      </c>
      <c r="AL51" s="136">
        <v>0</v>
      </c>
      <c r="AM51" s="137">
        <v>1500</v>
      </c>
      <c r="AN51" s="137">
        <v>15</v>
      </c>
      <c r="AO51" s="132">
        <v>10</v>
      </c>
      <c r="AP51" s="138">
        <v>10</v>
      </c>
      <c r="AQ51" s="138">
        <v>10</v>
      </c>
      <c r="AR51" s="139">
        <v>10018</v>
      </c>
    </row>
  </sheetData>
  <sheetProtection insertRows="0" deleteRows="0"/>
  <protectedRanges>
    <protectedRange sqref="A52:AG100" name="Rango1"/>
    <protectedRange sqref="A48:H50 J49:AG50 J48:T48 V48:AG48" name="Rango1_1"/>
    <protectedRange sqref="J40:AG45 J46:T47 U46:U48 V46:AG47 A51:AG51 A40:H47 A2:AG39 I40:I50" name="Rango1_1_1"/>
  </protectedRange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_Modelos">
    <tabColor theme="5" tint="0.39997558519241921"/>
  </sheetPr>
  <dimension ref="A1:H42"/>
  <sheetViews>
    <sheetView topLeftCell="A19" workbookViewId="0">
      <selection activeCell="D42" sqref="D32:D42"/>
    </sheetView>
  </sheetViews>
  <sheetFormatPr baseColWidth="10" defaultRowHeight="14.4" x14ac:dyDescent="0.3"/>
  <cols>
    <col min="1" max="1" width="11.33203125" bestFit="1" customWidth="1"/>
    <col min="2" max="2" width="12.88671875" bestFit="1" customWidth="1"/>
    <col min="3" max="3" width="19.44140625" bestFit="1" customWidth="1"/>
    <col min="4" max="4" width="28.6640625" bestFit="1" customWidth="1"/>
    <col min="5" max="5" width="14.33203125" bestFit="1" customWidth="1"/>
    <col min="6" max="6" width="10.109375" bestFit="1" customWidth="1"/>
    <col min="7" max="7" width="143.5546875" bestFit="1" customWidth="1"/>
    <col min="8" max="8" width="11.88671875" bestFit="1" customWidth="1"/>
  </cols>
  <sheetData>
    <row r="1" spans="1:8" x14ac:dyDescent="0.3">
      <c r="A1" s="2" t="s">
        <v>55</v>
      </c>
      <c r="B1" s="2" t="s">
        <v>17</v>
      </c>
      <c r="C1" s="2" t="s">
        <v>14</v>
      </c>
      <c r="D1" s="2" t="s">
        <v>56</v>
      </c>
      <c r="E1" s="2" t="s">
        <v>57</v>
      </c>
      <c r="F1" s="2" t="s">
        <v>19</v>
      </c>
      <c r="G1" s="2" t="s">
        <v>58</v>
      </c>
      <c r="H1" s="2" t="s">
        <v>59</v>
      </c>
    </row>
    <row r="2" spans="1:8" x14ac:dyDescent="0.3">
      <c r="A2">
        <v>10011</v>
      </c>
      <c r="B2" s="3" t="s">
        <v>63</v>
      </c>
      <c r="C2" s="6" t="s">
        <v>68</v>
      </c>
      <c r="D2" s="6" t="s">
        <v>166</v>
      </c>
      <c r="E2" t="s">
        <v>65</v>
      </c>
      <c r="F2" s="11" t="s">
        <v>69</v>
      </c>
      <c r="G2" s="5" t="s">
        <v>70</v>
      </c>
      <c r="H2" t="b">
        <v>1</v>
      </c>
    </row>
    <row r="3" spans="1:8" x14ac:dyDescent="0.3">
      <c r="A3">
        <v>10012</v>
      </c>
      <c r="B3" s="3" t="s">
        <v>63</v>
      </c>
      <c r="C3" s="6" t="s">
        <v>68</v>
      </c>
      <c r="D3" s="6" t="s">
        <v>167</v>
      </c>
      <c r="E3" t="s">
        <v>65</v>
      </c>
      <c r="F3" s="11" t="s">
        <v>69</v>
      </c>
      <c r="G3" s="5" t="s">
        <v>71</v>
      </c>
      <c r="H3" t="b">
        <v>1</v>
      </c>
    </row>
    <row r="4" spans="1:8" x14ac:dyDescent="0.3">
      <c r="A4">
        <v>10013</v>
      </c>
      <c r="B4" s="3" t="s">
        <v>63</v>
      </c>
      <c r="C4" s="6" t="s">
        <v>68</v>
      </c>
      <c r="D4" s="6" t="s">
        <v>168</v>
      </c>
      <c r="E4" t="s">
        <v>65</v>
      </c>
      <c r="F4" s="11" t="s">
        <v>69</v>
      </c>
      <c r="G4" s="5" t="s">
        <v>72</v>
      </c>
      <c r="H4" t="b">
        <v>1</v>
      </c>
    </row>
    <row r="5" spans="1:8" x14ac:dyDescent="0.3">
      <c r="A5">
        <v>10005</v>
      </c>
      <c r="B5" s="3" t="s">
        <v>63</v>
      </c>
      <c r="C5" s="6" t="s">
        <v>64</v>
      </c>
      <c r="D5" s="6" t="s">
        <v>169</v>
      </c>
      <c r="E5" t="s">
        <v>65</v>
      </c>
      <c r="F5" s="11" t="s">
        <v>52</v>
      </c>
      <c r="G5" s="5" t="s">
        <v>134</v>
      </c>
      <c r="H5" t="b">
        <v>1</v>
      </c>
    </row>
    <row r="6" spans="1:8" x14ac:dyDescent="0.3">
      <c r="A6">
        <v>10006</v>
      </c>
      <c r="B6" s="3" t="s">
        <v>63</v>
      </c>
      <c r="C6" s="9" t="s">
        <v>64</v>
      </c>
      <c r="D6" s="9" t="s">
        <v>170</v>
      </c>
      <c r="E6" t="s">
        <v>65</v>
      </c>
      <c r="F6" s="12" t="s">
        <v>52</v>
      </c>
      <c r="G6" s="5" t="s">
        <v>135</v>
      </c>
      <c r="H6" t="b">
        <v>1</v>
      </c>
    </row>
    <row r="7" spans="1:8" x14ac:dyDescent="0.3">
      <c r="A7">
        <v>10025</v>
      </c>
      <c r="B7" s="3" t="s">
        <v>60</v>
      </c>
      <c r="C7" s="6" t="s">
        <v>53</v>
      </c>
      <c r="D7" s="6" t="s">
        <v>171</v>
      </c>
      <c r="E7" t="s">
        <v>51</v>
      </c>
      <c r="F7" s="7" t="s">
        <v>67</v>
      </c>
      <c r="G7" s="5" t="s">
        <v>78</v>
      </c>
      <c r="H7" t="b">
        <v>1</v>
      </c>
    </row>
    <row r="8" spans="1:8" x14ac:dyDescent="0.3">
      <c r="A8">
        <v>10026</v>
      </c>
      <c r="B8" s="3" t="s">
        <v>60</v>
      </c>
      <c r="C8" s="6" t="s">
        <v>53</v>
      </c>
      <c r="D8" s="6" t="s">
        <v>171</v>
      </c>
      <c r="E8" t="s">
        <v>65</v>
      </c>
      <c r="F8" s="7" t="s">
        <v>67</v>
      </c>
      <c r="G8" s="5" t="s">
        <v>79</v>
      </c>
      <c r="H8" t="b">
        <v>1</v>
      </c>
    </row>
    <row r="9" spans="1:8" x14ac:dyDescent="0.3">
      <c r="A9">
        <v>10032</v>
      </c>
      <c r="B9" s="3" t="s">
        <v>60</v>
      </c>
      <c r="C9" s="9" t="s">
        <v>53</v>
      </c>
      <c r="D9" s="9" t="s">
        <v>172</v>
      </c>
      <c r="E9" t="s">
        <v>51</v>
      </c>
      <c r="F9" s="10" t="s">
        <v>67</v>
      </c>
      <c r="G9" s="5" t="s">
        <v>136</v>
      </c>
      <c r="H9" t="b">
        <v>1</v>
      </c>
    </row>
    <row r="10" spans="1:8" x14ac:dyDescent="0.3">
      <c r="A10">
        <v>10024</v>
      </c>
      <c r="B10" s="3" t="s">
        <v>60</v>
      </c>
      <c r="C10" s="9" t="s">
        <v>73</v>
      </c>
      <c r="D10" s="9" t="s">
        <v>173</v>
      </c>
      <c r="E10" t="s">
        <v>51</v>
      </c>
      <c r="F10" s="10" t="s">
        <v>52</v>
      </c>
      <c r="G10" s="5" t="s">
        <v>77</v>
      </c>
      <c r="H10" t="b">
        <v>1</v>
      </c>
    </row>
    <row r="11" spans="1:8" x14ac:dyDescent="0.3">
      <c r="A11">
        <v>10030</v>
      </c>
      <c r="B11" s="3" t="s">
        <v>60</v>
      </c>
      <c r="C11" s="9" t="s">
        <v>73</v>
      </c>
      <c r="D11" s="9" t="s">
        <v>174</v>
      </c>
      <c r="E11" t="s">
        <v>51</v>
      </c>
      <c r="F11" s="10" t="s">
        <v>52</v>
      </c>
      <c r="G11" s="5" t="s">
        <v>137</v>
      </c>
      <c r="H11" t="b">
        <v>1</v>
      </c>
    </row>
    <row r="12" spans="1:8" x14ac:dyDescent="0.3">
      <c r="A12">
        <v>10014</v>
      </c>
      <c r="B12" s="3" t="s">
        <v>60</v>
      </c>
      <c r="C12" s="9" t="s">
        <v>73</v>
      </c>
      <c r="D12" s="9" t="s">
        <v>175</v>
      </c>
      <c r="E12" s="13" t="s">
        <v>65</v>
      </c>
      <c r="F12" s="12" t="s">
        <v>52</v>
      </c>
      <c r="G12" s="5" t="s">
        <v>138</v>
      </c>
      <c r="H12" t="b">
        <v>1</v>
      </c>
    </row>
    <row r="13" spans="1:8" x14ac:dyDescent="0.3">
      <c r="A13">
        <v>10015</v>
      </c>
      <c r="B13" s="3" t="s">
        <v>60</v>
      </c>
      <c r="C13" s="9" t="s">
        <v>73</v>
      </c>
      <c r="D13" s="9" t="s">
        <v>176</v>
      </c>
      <c r="E13" s="13" t="s">
        <v>65</v>
      </c>
      <c r="F13" s="12" t="s">
        <v>52</v>
      </c>
      <c r="G13" s="5" t="s">
        <v>139</v>
      </c>
      <c r="H13" t="b">
        <v>1</v>
      </c>
    </row>
    <row r="14" spans="1:8" x14ac:dyDescent="0.3">
      <c r="A14">
        <v>10016</v>
      </c>
      <c r="B14" s="3" t="s">
        <v>60</v>
      </c>
      <c r="C14" s="6" t="s">
        <v>73</v>
      </c>
      <c r="D14" s="6" t="s">
        <v>177</v>
      </c>
      <c r="E14" s="13" t="s">
        <v>65</v>
      </c>
      <c r="F14" s="11" t="s">
        <v>52</v>
      </c>
      <c r="G14" s="5" t="s">
        <v>140</v>
      </c>
      <c r="H14" t="b">
        <v>1</v>
      </c>
    </row>
    <row r="15" spans="1:8" x14ac:dyDescent="0.3">
      <c r="A15">
        <v>10017</v>
      </c>
      <c r="B15" s="3" t="s">
        <v>60</v>
      </c>
      <c r="C15" s="6" t="s">
        <v>73</v>
      </c>
      <c r="D15" s="6" t="s">
        <v>178</v>
      </c>
      <c r="E15" s="13" t="s">
        <v>65</v>
      </c>
      <c r="F15" s="11" t="s">
        <v>52</v>
      </c>
      <c r="G15" s="5" t="s">
        <v>141</v>
      </c>
      <c r="H15" t="b">
        <v>1</v>
      </c>
    </row>
    <row r="16" spans="1:8" x14ac:dyDescent="0.3">
      <c r="A16">
        <v>10018</v>
      </c>
      <c r="B16" s="3" t="s">
        <v>60</v>
      </c>
      <c r="C16" s="6" t="s">
        <v>73</v>
      </c>
      <c r="D16" s="6" t="s">
        <v>179</v>
      </c>
      <c r="E16" s="13" t="s">
        <v>65</v>
      </c>
      <c r="F16" s="11" t="s">
        <v>52</v>
      </c>
      <c r="G16" s="5" t="s">
        <v>142</v>
      </c>
      <c r="H16" t="b">
        <v>1</v>
      </c>
    </row>
    <row r="17" spans="1:8" x14ac:dyDescent="0.3">
      <c r="A17">
        <v>10022</v>
      </c>
      <c r="B17" s="3" t="s">
        <v>60</v>
      </c>
      <c r="C17" s="6" t="s">
        <v>73</v>
      </c>
      <c r="D17" s="6" t="s">
        <v>176</v>
      </c>
      <c r="E17" t="s">
        <v>51</v>
      </c>
      <c r="F17" s="11" t="s">
        <v>52</v>
      </c>
      <c r="G17" s="5" t="s">
        <v>143</v>
      </c>
      <c r="H17" t="b">
        <v>1</v>
      </c>
    </row>
    <row r="18" spans="1:8" x14ac:dyDescent="0.3">
      <c r="A18" s="13">
        <v>10023</v>
      </c>
      <c r="B18" s="14" t="s">
        <v>60</v>
      </c>
      <c r="C18" s="6" t="s">
        <v>73</v>
      </c>
      <c r="D18" s="6" t="s">
        <v>175</v>
      </c>
      <c r="E18" s="13" t="s">
        <v>51</v>
      </c>
      <c r="F18" s="11" t="s">
        <v>52</v>
      </c>
      <c r="G18" s="15" t="s">
        <v>144</v>
      </c>
      <c r="H18" s="13" t="b">
        <v>1</v>
      </c>
    </row>
    <row r="19" spans="1:8" x14ac:dyDescent="0.3">
      <c r="A19">
        <v>10031</v>
      </c>
      <c r="B19" s="3" t="s">
        <v>60</v>
      </c>
      <c r="C19" s="6" t="s">
        <v>61</v>
      </c>
      <c r="D19" s="6" t="s">
        <v>180</v>
      </c>
      <c r="E19" t="s">
        <v>51</v>
      </c>
      <c r="F19" s="7" t="s">
        <v>52</v>
      </c>
      <c r="G19" s="5" t="s">
        <v>145</v>
      </c>
      <c r="H19" t="b">
        <v>1</v>
      </c>
    </row>
    <row r="20" spans="1:8" x14ac:dyDescent="0.3">
      <c r="A20">
        <v>10001</v>
      </c>
      <c r="B20" s="3" t="s">
        <v>60</v>
      </c>
      <c r="C20" s="6" t="s">
        <v>61</v>
      </c>
      <c r="D20" s="6" t="s">
        <v>181</v>
      </c>
      <c r="E20" t="s">
        <v>62</v>
      </c>
      <c r="F20" s="11" t="s">
        <v>52</v>
      </c>
      <c r="G20" s="5" t="s">
        <v>146</v>
      </c>
      <c r="H20" t="b">
        <v>1</v>
      </c>
    </row>
    <row r="21" spans="1:8" x14ac:dyDescent="0.3">
      <c r="A21">
        <v>10002</v>
      </c>
      <c r="B21" s="3" t="s">
        <v>60</v>
      </c>
      <c r="C21" s="6" t="s">
        <v>61</v>
      </c>
      <c r="D21" s="6" t="s">
        <v>181</v>
      </c>
      <c r="E21" t="s">
        <v>51</v>
      </c>
      <c r="F21" s="11" t="s">
        <v>52</v>
      </c>
      <c r="G21" s="5" t="s">
        <v>147</v>
      </c>
      <c r="H21" t="b">
        <v>1</v>
      </c>
    </row>
    <row r="22" spans="1:8" x14ac:dyDescent="0.3">
      <c r="A22">
        <v>10019</v>
      </c>
      <c r="B22" s="14" t="s">
        <v>63</v>
      </c>
      <c r="C22" s="6" t="s">
        <v>74</v>
      </c>
      <c r="D22" s="6" t="s">
        <v>182</v>
      </c>
      <c r="E22" s="4" t="s">
        <v>65</v>
      </c>
      <c r="F22" s="11" t="s">
        <v>75</v>
      </c>
      <c r="G22" s="5" t="s">
        <v>148</v>
      </c>
      <c r="H22" t="b">
        <v>1</v>
      </c>
    </row>
    <row r="23" spans="1:8" x14ac:dyDescent="0.3">
      <c r="A23">
        <v>10020</v>
      </c>
      <c r="B23" s="14" t="s">
        <v>63</v>
      </c>
      <c r="C23" s="6" t="s">
        <v>74</v>
      </c>
      <c r="D23" s="6" t="s">
        <v>183</v>
      </c>
      <c r="E23" s="6" t="s">
        <v>65</v>
      </c>
      <c r="F23" s="11" t="s">
        <v>75</v>
      </c>
      <c r="G23" s="5" t="s">
        <v>149</v>
      </c>
      <c r="H23" t="b">
        <v>1</v>
      </c>
    </row>
    <row r="24" spans="1:8" x14ac:dyDescent="0.3">
      <c r="A24">
        <v>10021</v>
      </c>
      <c r="B24" s="14" t="s">
        <v>63</v>
      </c>
      <c r="C24" s="6" t="s">
        <v>74</v>
      </c>
      <c r="D24" s="6" t="s">
        <v>184</v>
      </c>
      <c r="E24" s="6" t="s">
        <v>65</v>
      </c>
      <c r="F24" s="11" t="s">
        <v>75</v>
      </c>
      <c r="G24" s="5" t="s">
        <v>150</v>
      </c>
      <c r="H24" t="b">
        <v>1</v>
      </c>
    </row>
    <row r="25" spans="1:8" x14ac:dyDescent="0.3">
      <c r="A25">
        <v>10033</v>
      </c>
      <c r="B25" s="3" t="s">
        <v>63</v>
      </c>
      <c r="C25" s="6" t="s">
        <v>66</v>
      </c>
      <c r="D25" s="6" t="s">
        <v>185</v>
      </c>
      <c r="E25" s="6" t="s">
        <v>65</v>
      </c>
      <c r="F25" s="7" t="s">
        <v>67</v>
      </c>
      <c r="G25" s="5" t="s">
        <v>151</v>
      </c>
      <c r="H25" t="b">
        <v>1</v>
      </c>
    </row>
    <row r="26" spans="1:8" x14ac:dyDescent="0.3">
      <c r="A26">
        <v>10034</v>
      </c>
      <c r="B26" s="3" t="s">
        <v>63</v>
      </c>
      <c r="C26" s="6" t="s">
        <v>66</v>
      </c>
      <c r="D26" s="6" t="s">
        <v>186</v>
      </c>
      <c r="E26" s="6" t="s">
        <v>65</v>
      </c>
      <c r="F26" s="7" t="s">
        <v>67</v>
      </c>
      <c r="G26" s="5" t="s">
        <v>151</v>
      </c>
      <c r="H26" t="b">
        <v>1</v>
      </c>
    </row>
    <row r="27" spans="1:8" x14ac:dyDescent="0.3">
      <c r="A27">
        <v>10035</v>
      </c>
      <c r="B27" s="8" t="s">
        <v>63</v>
      </c>
      <c r="C27" s="6" t="s">
        <v>66</v>
      </c>
      <c r="D27" s="6" t="s">
        <v>187</v>
      </c>
      <c r="E27" s="6" t="s">
        <v>65</v>
      </c>
      <c r="F27" s="7" t="s">
        <v>67</v>
      </c>
      <c r="G27" s="5" t="s">
        <v>152</v>
      </c>
      <c r="H27" t="b">
        <v>1</v>
      </c>
    </row>
    <row r="28" spans="1:8" x14ac:dyDescent="0.3">
      <c r="A28">
        <v>10036</v>
      </c>
      <c r="B28" s="8" t="s">
        <v>63</v>
      </c>
      <c r="C28" s="6" t="s">
        <v>66</v>
      </c>
      <c r="D28" s="6" t="s">
        <v>188</v>
      </c>
      <c r="E28" s="6" t="s">
        <v>65</v>
      </c>
      <c r="F28" s="7" t="s">
        <v>67</v>
      </c>
      <c r="G28" s="5" t="s">
        <v>153</v>
      </c>
      <c r="H28" t="b">
        <v>1</v>
      </c>
    </row>
    <row r="29" spans="1:8" x14ac:dyDescent="0.3">
      <c r="A29">
        <v>10007</v>
      </c>
      <c r="B29" s="8" t="s">
        <v>63</v>
      </c>
      <c r="C29" s="6" t="s">
        <v>66</v>
      </c>
      <c r="D29" s="6" t="s">
        <v>189</v>
      </c>
      <c r="E29" s="6" t="s">
        <v>65</v>
      </c>
      <c r="F29" s="11" t="s">
        <v>67</v>
      </c>
      <c r="G29" s="5" t="s">
        <v>154</v>
      </c>
      <c r="H29" t="b">
        <v>1</v>
      </c>
    </row>
    <row r="30" spans="1:8" x14ac:dyDescent="0.3">
      <c r="A30">
        <v>10027</v>
      </c>
      <c r="B30" s="3" t="s">
        <v>60</v>
      </c>
      <c r="C30" s="6" t="s">
        <v>76</v>
      </c>
      <c r="D30" s="6" t="s">
        <v>190</v>
      </c>
      <c r="E30" t="s">
        <v>65</v>
      </c>
      <c r="F30" s="7" t="s">
        <v>67</v>
      </c>
      <c r="G30" s="5" t="s">
        <v>80</v>
      </c>
      <c r="H30" t="b">
        <v>1</v>
      </c>
    </row>
    <row r="31" spans="1:8" x14ac:dyDescent="0.3">
      <c r="A31">
        <v>10028</v>
      </c>
      <c r="B31" s="3" t="s">
        <v>60</v>
      </c>
      <c r="C31" s="9" t="s">
        <v>76</v>
      </c>
      <c r="D31" s="9" t="s">
        <v>190</v>
      </c>
      <c r="E31" t="s">
        <v>51</v>
      </c>
      <c r="F31" s="10" t="s">
        <v>67</v>
      </c>
      <c r="G31" s="5" t="s">
        <v>155</v>
      </c>
      <c r="H31" t="b">
        <v>1</v>
      </c>
    </row>
    <row r="32" spans="1:8" x14ac:dyDescent="0.3">
      <c r="A32">
        <v>10029</v>
      </c>
      <c r="B32" s="3" t="s">
        <v>60</v>
      </c>
      <c r="C32" s="6" t="s">
        <v>73</v>
      </c>
      <c r="D32" s="9" t="s">
        <v>202</v>
      </c>
      <c r="E32" t="s">
        <v>65</v>
      </c>
      <c r="F32" s="10" t="s">
        <v>52</v>
      </c>
      <c r="G32" s="5" t="s">
        <v>203</v>
      </c>
      <c r="H32" t="b">
        <v>1</v>
      </c>
    </row>
    <row r="33" spans="1:8" x14ac:dyDescent="0.3">
      <c r="A33">
        <v>10030</v>
      </c>
      <c r="B33" s="3" t="s">
        <v>60</v>
      </c>
      <c r="C33" s="9" t="s">
        <v>73</v>
      </c>
      <c r="D33" s="9" t="s">
        <v>204</v>
      </c>
      <c r="E33" t="s">
        <v>65</v>
      </c>
      <c r="F33" s="10" t="s">
        <v>52</v>
      </c>
      <c r="G33" s="5" t="s">
        <v>205</v>
      </c>
      <c r="H33" t="b">
        <v>1</v>
      </c>
    </row>
    <row r="34" spans="1:8" x14ac:dyDescent="0.3">
      <c r="A34">
        <v>10031</v>
      </c>
      <c r="B34" s="3" t="s">
        <v>60</v>
      </c>
      <c r="C34" s="9" t="s">
        <v>73</v>
      </c>
      <c r="D34" s="9" t="s">
        <v>206</v>
      </c>
      <c r="E34" t="s">
        <v>65</v>
      </c>
      <c r="F34" s="10" t="s">
        <v>52</v>
      </c>
      <c r="G34" s="5" t="s">
        <v>207</v>
      </c>
      <c r="H34" t="b">
        <v>1</v>
      </c>
    </row>
    <row r="35" spans="1:8" x14ac:dyDescent="0.3">
      <c r="A35">
        <v>10032</v>
      </c>
      <c r="B35" s="3" t="s">
        <v>60</v>
      </c>
      <c r="C35" s="9" t="s">
        <v>73</v>
      </c>
      <c r="D35" s="9" t="s">
        <v>208</v>
      </c>
      <c r="E35" t="s">
        <v>65</v>
      </c>
      <c r="F35" s="10" t="s">
        <v>52</v>
      </c>
      <c r="G35" s="5" t="s">
        <v>209</v>
      </c>
      <c r="H35" t="b">
        <v>1</v>
      </c>
    </row>
    <row r="36" spans="1:8" x14ac:dyDescent="0.3">
      <c r="A36">
        <v>10033</v>
      </c>
      <c r="B36" s="3" t="s">
        <v>60</v>
      </c>
      <c r="C36" s="9" t="s">
        <v>53</v>
      </c>
      <c r="D36" s="9" t="s">
        <v>210</v>
      </c>
      <c r="E36" t="s">
        <v>65</v>
      </c>
      <c r="F36" s="10" t="s">
        <v>67</v>
      </c>
      <c r="G36" s="5" t="s">
        <v>211</v>
      </c>
      <c r="H36" t="b">
        <v>1</v>
      </c>
    </row>
    <row r="37" spans="1:8" x14ac:dyDescent="0.3">
      <c r="A37">
        <v>10034</v>
      </c>
      <c r="B37" s="3" t="s">
        <v>60</v>
      </c>
      <c r="C37" s="9" t="s">
        <v>53</v>
      </c>
      <c r="D37" s="9" t="s">
        <v>212</v>
      </c>
      <c r="E37" t="s">
        <v>65</v>
      </c>
      <c r="F37" s="10" t="s">
        <v>67</v>
      </c>
      <c r="G37" s="5" t="s">
        <v>213</v>
      </c>
      <c r="H37" t="b">
        <v>1</v>
      </c>
    </row>
    <row r="38" spans="1:8" x14ac:dyDescent="0.3">
      <c r="A38">
        <v>10035</v>
      </c>
      <c r="B38" s="3" t="s">
        <v>60</v>
      </c>
      <c r="C38" s="9" t="s">
        <v>53</v>
      </c>
      <c r="D38" s="9" t="s">
        <v>214</v>
      </c>
      <c r="E38" t="s">
        <v>65</v>
      </c>
      <c r="F38" s="10" t="s">
        <v>67</v>
      </c>
      <c r="G38" s="5" t="s">
        <v>215</v>
      </c>
      <c r="H38" t="b">
        <v>1</v>
      </c>
    </row>
    <row r="39" spans="1:8" x14ac:dyDescent="0.3">
      <c r="A39">
        <v>10036</v>
      </c>
      <c r="B39" s="3" t="s">
        <v>60</v>
      </c>
      <c r="C39" s="9" t="s">
        <v>53</v>
      </c>
      <c r="D39" s="9" t="s">
        <v>216</v>
      </c>
      <c r="E39" t="s">
        <v>65</v>
      </c>
      <c r="F39" s="10" t="s">
        <v>67</v>
      </c>
      <c r="G39" s="5" t="s">
        <v>217</v>
      </c>
      <c r="H39" t="b">
        <v>1</v>
      </c>
    </row>
    <row r="40" spans="1:8" x14ac:dyDescent="0.3">
      <c r="A40">
        <v>10037</v>
      </c>
      <c r="B40" s="3" t="s">
        <v>60</v>
      </c>
      <c r="C40" s="9" t="s">
        <v>53</v>
      </c>
      <c r="D40" s="9" t="s">
        <v>218</v>
      </c>
      <c r="E40" t="s">
        <v>65</v>
      </c>
      <c r="F40" s="10" t="s">
        <v>67</v>
      </c>
      <c r="G40" s="5" t="s">
        <v>219</v>
      </c>
      <c r="H40" t="b">
        <v>1</v>
      </c>
    </row>
    <row r="41" spans="1:8" x14ac:dyDescent="0.3">
      <c r="A41">
        <v>10038</v>
      </c>
      <c r="B41" s="3" t="s">
        <v>60</v>
      </c>
      <c r="C41" s="9" t="s">
        <v>53</v>
      </c>
      <c r="D41" s="9" t="s">
        <v>220</v>
      </c>
      <c r="E41" t="s">
        <v>65</v>
      </c>
      <c r="F41" s="10" t="s">
        <v>67</v>
      </c>
      <c r="G41" s="5" t="s">
        <v>221</v>
      </c>
      <c r="H41" t="b">
        <v>1</v>
      </c>
    </row>
    <row r="42" spans="1:8" x14ac:dyDescent="0.3">
      <c r="A42">
        <v>10039</v>
      </c>
      <c r="B42" s="3" t="s">
        <v>60</v>
      </c>
      <c r="C42" s="9" t="s">
        <v>53</v>
      </c>
      <c r="D42" s="9" t="s">
        <v>222</v>
      </c>
      <c r="E42" t="s">
        <v>65</v>
      </c>
      <c r="F42" s="10" t="s">
        <v>67</v>
      </c>
      <c r="G42" s="5" t="s">
        <v>223</v>
      </c>
      <c r="H42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ngreso_Datos">
    <tabColor theme="7" tint="0.39997558519241921"/>
  </sheetPr>
  <dimension ref="A1:N16"/>
  <sheetViews>
    <sheetView workbookViewId="0">
      <selection activeCell="D4" sqref="D4"/>
    </sheetView>
  </sheetViews>
  <sheetFormatPr baseColWidth="10" defaultRowHeight="14.4" x14ac:dyDescent="0.3"/>
  <cols>
    <col min="1" max="1" width="19.44140625" bestFit="1" customWidth="1"/>
    <col min="2" max="2" width="10.77734375" bestFit="1" customWidth="1"/>
    <col min="3" max="3" width="22.33203125" bestFit="1" customWidth="1"/>
    <col min="4" max="4" width="19.6640625" bestFit="1" customWidth="1"/>
    <col min="5" max="5" width="15.33203125" bestFit="1" customWidth="1"/>
    <col min="6" max="6" width="19.109375" bestFit="1" customWidth="1"/>
    <col min="7" max="7" width="13.109375" bestFit="1" customWidth="1"/>
    <col min="8" max="8" width="12.21875" style="68" bestFit="1" customWidth="1"/>
    <col min="9" max="9" width="10.5546875" style="68" bestFit="1" customWidth="1"/>
    <col min="10" max="10" width="13.44140625" bestFit="1" customWidth="1"/>
    <col min="11" max="11" width="14.6640625" bestFit="1" customWidth="1"/>
    <col min="12" max="12" width="3.5546875" customWidth="1"/>
    <col min="13" max="13" width="18" bestFit="1" customWidth="1"/>
  </cols>
  <sheetData>
    <row r="1" spans="1:14" ht="16.2" thickBot="1" x14ac:dyDescent="0.35">
      <c r="A1" s="160" t="s">
        <v>123</v>
      </c>
      <c r="B1" s="160" t="s">
        <v>57</v>
      </c>
      <c r="C1" s="160" t="s">
        <v>117</v>
      </c>
      <c r="D1" s="160" t="s">
        <v>122</v>
      </c>
      <c r="E1" s="160" t="s">
        <v>191</v>
      </c>
      <c r="F1" s="160" t="s">
        <v>192</v>
      </c>
      <c r="G1" s="160" t="s">
        <v>116</v>
      </c>
      <c r="H1" s="161" t="s">
        <v>121</v>
      </c>
      <c r="I1" s="161" t="s">
        <v>120</v>
      </c>
      <c r="J1" s="160" t="s">
        <v>119</v>
      </c>
      <c r="K1" s="160" t="s">
        <v>2</v>
      </c>
      <c r="L1" s="142"/>
      <c r="M1" s="142" t="s">
        <v>118</v>
      </c>
      <c r="N1" s="68">
        <v>44774</v>
      </c>
    </row>
    <row r="2" spans="1:14" x14ac:dyDescent="0.3">
      <c r="A2" t="s">
        <v>197</v>
      </c>
      <c r="B2" t="s">
        <v>133</v>
      </c>
      <c r="C2" t="s">
        <v>337</v>
      </c>
      <c r="D2" s="143">
        <v>1</v>
      </c>
      <c r="E2">
        <v>2</v>
      </c>
      <c r="F2">
        <v>2765.5</v>
      </c>
      <c r="G2">
        <v>450</v>
      </c>
      <c r="H2" s="68">
        <v>44774</v>
      </c>
      <c r="I2" s="68">
        <v>44776</v>
      </c>
      <c r="J2">
        <v>2</v>
      </c>
      <c r="K2">
        <v>6</v>
      </c>
    </row>
    <row r="3" spans="1:14" x14ac:dyDescent="0.3">
      <c r="A3" t="s">
        <v>197</v>
      </c>
      <c r="B3" t="s">
        <v>133</v>
      </c>
      <c r="C3" t="s">
        <v>332</v>
      </c>
      <c r="D3" s="143">
        <v>2</v>
      </c>
      <c r="E3">
        <v>1</v>
      </c>
      <c r="F3">
        <v>1028.5999999999999</v>
      </c>
      <c r="G3">
        <v>450</v>
      </c>
      <c r="H3" s="68">
        <v>44776</v>
      </c>
      <c r="I3" s="68">
        <v>44777</v>
      </c>
      <c r="J3">
        <v>1</v>
      </c>
      <c r="K3">
        <v>2.2000000000000002</v>
      </c>
    </row>
    <row r="4" spans="1:14" x14ac:dyDescent="0.3">
      <c r="A4" t="s">
        <v>197</v>
      </c>
      <c r="B4" t="s">
        <v>133</v>
      </c>
      <c r="C4" t="s">
        <v>335</v>
      </c>
      <c r="D4" s="143">
        <v>5</v>
      </c>
      <c r="E4">
        <v>1</v>
      </c>
      <c r="F4">
        <v>910.5</v>
      </c>
      <c r="G4">
        <v>450</v>
      </c>
      <c r="H4" s="68">
        <v>44777</v>
      </c>
      <c r="I4" s="68">
        <v>44778</v>
      </c>
      <c r="J4">
        <v>1</v>
      </c>
      <c r="K4">
        <v>1.6</v>
      </c>
    </row>
    <row r="5" spans="1:14" x14ac:dyDescent="0.3">
      <c r="A5" t="s">
        <v>197</v>
      </c>
      <c r="B5" t="s">
        <v>133</v>
      </c>
      <c r="C5" t="s">
        <v>338</v>
      </c>
      <c r="D5" s="143"/>
      <c r="E5">
        <v>5</v>
      </c>
      <c r="F5">
        <v>4363.7</v>
      </c>
      <c r="G5">
        <v>450</v>
      </c>
      <c r="H5" s="68">
        <v>44778</v>
      </c>
      <c r="I5" s="68">
        <v>44785</v>
      </c>
      <c r="J5">
        <v>7</v>
      </c>
      <c r="K5">
        <v>13</v>
      </c>
    </row>
    <row r="6" spans="1:14" x14ac:dyDescent="0.3">
      <c r="A6" t="s">
        <v>197</v>
      </c>
      <c r="B6" t="s">
        <v>133</v>
      </c>
      <c r="C6" t="s">
        <v>339</v>
      </c>
      <c r="D6" s="143"/>
      <c r="E6">
        <v>2</v>
      </c>
      <c r="F6">
        <v>1510.5</v>
      </c>
      <c r="G6">
        <v>450</v>
      </c>
      <c r="H6" s="68">
        <v>44785</v>
      </c>
      <c r="I6" s="68">
        <v>44789</v>
      </c>
      <c r="J6">
        <v>4</v>
      </c>
      <c r="K6">
        <v>4.5</v>
      </c>
    </row>
    <row r="7" spans="1:14" x14ac:dyDescent="0.3">
      <c r="A7" t="s">
        <v>197</v>
      </c>
      <c r="B7" t="s">
        <v>133</v>
      </c>
      <c r="C7" t="s">
        <v>343</v>
      </c>
      <c r="D7" s="143"/>
      <c r="E7">
        <v>1</v>
      </c>
      <c r="F7">
        <v>1447.5</v>
      </c>
      <c r="G7">
        <v>450</v>
      </c>
      <c r="H7" s="68">
        <v>44789</v>
      </c>
      <c r="I7" s="68">
        <v>44790</v>
      </c>
      <c r="J7">
        <v>1</v>
      </c>
      <c r="K7">
        <v>4</v>
      </c>
    </row>
    <row r="8" spans="1:14" x14ac:dyDescent="0.3">
      <c r="A8" t="s">
        <v>197</v>
      </c>
      <c r="B8" t="s">
        <v>133</v>
      </c>
      <c r="C8" t="s">
        <v>198</v>
      </c>
      <c r="D8" s="143"/>
      <c r="E8">
        <v>3</v>
      </c>
      <c r="F8">
        <v>2809.4</v>
      </c>
      <c r="G8">
        <v>450</v>
      </c>
      <c r="H8" s="68">
        <v>44790</v>
      </c>
      <c r="I8" s="68">
        <v>44795</v>
      </c>
      <c r="J8">
        <v>5</v>
      </c>
      <c r="K8">
        <v>6.5</v>
      </c>
    </row>
    <row r="9" spans="1:14" x14ac:dyDescent="0.3">
      <c r="A9" t="s">
        <v>197</v>
      </c>
      <c r="B9" t="s">
        <v>133</v>
      </c>
      <c r="C9" t="s">
        <v>340</v>
      </c>
      <c r="D9" s="143"/>
      <c r="E9">
        <v>2</v>
      </c>
      <c r="F9">
        <v>2207.6999999999998</v>
      </c>
      <c r="G9">
        <v>450</v>
      </c>
      <c r="H9" s="68">
        <v>44795</v>
      </c>
      <c r="I9" s="68">
        <v>44797</v>
      </c>
      <c r="J9">
        <v>2</v>
      </c>
      <c r="K9">
        <v>4.4000000000000004</v>
      </c>
    </row>
    <row r="10" spans="1:14" x14ac:dyDescent="0.3">
      <c r="A10" t="s">
        <v>197</v>
      </c>
      <c r="B10" t="s">
        <v>133</v>
      </c>
      <c r="C10" t="s">
        <v>341</v>
      </c>
      <c r="D10" s="143"/>
      <c r="E10">
        <v>1</v>
      </c>
      <c r="F10">
        <v>1338.7</v>
      </c>
      <c r="G10">
        <v>450</v>
      </c>
      <c r="H10" s="68">
        <v>44797</v>
      </c>
      <c r="I10" s="68">
        <v>44798</v>
      </c>
      <c r="J10">
        <v>1</v>
      </c>
      <c r="K10">
        <v>3.9</v>
      </c>
    </row>
    <row r="11" spans="1:14" x14ac:dyDescent="0.3">
      <c r="A11" t="s">
        <v>197</v>
      </c>
      <c r="B11" t="s">
        <v>133</v>
      </c>
      <c r="C11" t="s">
        <v>342</v>
      </c>
      <c r="D11" s="143"/>
      <c r="E11">
        <v>2</v>
      </c>
      <c r="F11">
        <v>2616.1999999999998</v>
      </c>
      <c r="G11">
        <v>450</v>
      </c>
      <c r="H11" s="68">
        <v>44798</v>
      </c>
      <c r="I11" s="68">
        <v>44802</v>
      </c>
      <c r="J11">
        <v>4</v>
      </c>
      <c r="K11">
        <v>6.5</v>
      </c>
    </row>
    <row r="12" spans="1:14" x14ac:dyDescent="0.3">
      <c r="A12" s="13" t="s">
        <v>248</v>
      </c>
      <c r="B12" s="13" t="s">
        <v>133</v>
      </c>
      <c r="C12" s="13" t="s">
        <v>323</v>
      </c>
      <c r="D12" s="143">
        <v>1</v>
      </c>
      <c r="E12" s="13">
        <v>2</v>
      </c>
      <c r="F12" s="13">
        <v>1709.2</v>
      </c>
      <c r="G12" s="13">
        <v>450</v>
      </c>
      <c r="H12" s="165">
        <v>44774</v>
      </c>
      <c r="I12" s="165">
        <v>44776</v>
      </c>
      <c r="J12" s="13">
        <v>2</v>
      </c>
      <c r="K12" s="13">
        <v>5.5</v>
      </c>
    </row>
    <row r="13" spans="1:14" x14ac:dyDescent="0.3">
      <c r="A13" t="s">
        <v>248</v>
      </c>
      <c r="B13" t="s">
        <v>133</v>
      </c>
      <c r="C13" t="s">
        <v>314</v>
      </c>
      <c r="D13" s="143">
        <v>2</v>
      </c>
      <c r="E13">
        <v>1</v>
      </c>
      <c r="F13">
        <v>666.9</v>
      </c>
      <c r="G13">
        <v>450</v>
      </c>
      <c r="H13" s="68">
        <v>44776</v>
      </c>
      <c r="I13" s="68">
        <v>44777</v>
      </c>
      <c r="J13">
        <v>1</v>
      </c>
      <c r="K13">
        <v>2</v>
      </c>
    </row>
    <row r="14" spans="1:14" x14ac:dyDescent="0.3">
      <c r="A14" t="s">
        <v>248</v>
      </c>
      <c r="B14" t="s">
        <v>133</v>
      </c>
      <c r="C14" t="s">
        <v>309</v>
      </c>
      <c r="D14" s="143"/>
      <c r="E14">
        <v>8</v>
      </c>
      <c r="F14">
        <v>5455.7</v>
      </c>
      <c r="G14">
        <v>450</v>
      </c>
      <c r="H14" s="68">
        <v>44777</v>
      </c>
      <c r="I14" s="68">
        <v>44789</v>
      </c>
      <c r="J14">
        <v>12</v>
      </c>
      <c r="K14">
        <v>13</v>
      </c>
    </row>
    <row r="15" spans="1:14" x14ac:dyDescent="0.3">
      <c r="A15" t="s">
        <v>248</v>
      </c>
      <c r="B15" t="s">
        <v>133</v>
      </c>
      <c r="C15" t="s">
        <v>315</v>
      </c>
      <c r="D15" s="143"/>
      <c r="E15">
        <v>6</v>
      </c>
      <c r="F15">
        <v>4575.2</v>
      </c>
      <c r="G15">
        <v>450</v>
      </c>
      <c r="H15" s="68">
        <v>44789</v>
      </c>
      <c r="I15" s="68">
        <v>44797</v>
      </c>
      <c r="J15">
        <v>8</v>
      </c>
      <c r="K15">
        <v>10</v>
      </c>
    </row>
    <row r="16" spans="1:14" ht="15" thickBot="1" x14ac:dyDescent="0.35">
      <c r="A16" s="162" t="s">
        <v>248</v>
      </c>
      <c r="B16" s="162" t="s">
        <v>133</v>
      </c>
      <c r="C16" s="162" t="s">
        <v>316</v>
      </c>
      <c r="D16" s="163"/>
      <c r="E16" s="162">
        <v>1</v>
      </c>
      <c r="F16" s="162">
        <v>400.1</v>
      </c>
      <c r="G16" s="162">
        <v>450</v>
      </c>
      <c r="H16" s="164">
        <v>44797</v>
      </c>
      <c r="I16" s="164">
        <v>44798</v>
      </c>
      <c r="J16" s="162">
        <v>1</v>
      </c>
      <c r="K16" s="162">
        <v>1</v>
      </c>
    </row>
  </sheetData>
  <sortState xmlns:xlrd2="http://schemas.microsoft.com/office/spreadsheetml/2017/richdata2" ref="A2:K16">
    <sortCondition ref="A2"/>
    <sortCondition ref="D2"/>
    <sortCondition ref="C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_Expansion_Fechas">
    <tabColor theme="7" tint="0.39997558519241921"/>
  </sheetPr>
  <dimension ref="A1:F39"/>
  <sheetViews>
    <sheetView tabSelected="1" workbookViewId="0">
      <selection activeCell="I6" sqref="I6"/>
    </sheetView>
  </sheetViews>
  <sheetFormatPr baseColWidth="10" defaultRowHeight="14.4" x14ac:dyDescent="0.3"/>
  <cols>
    <col min="1" max="1" width="19.44140625" bestFit="1" customWidth="1"/>
    <col min="2" max="2" width="13" bestFit="1" customWidth="1"/>
    <col min="3" max="3" width="22.33203125" bestFit="1" customWidth="1"/>
    <col min="4" max="4" width="10.77734375" style="1" bestFit="1" customWidth="1"/>
    <col min="5" max="5" width="14.44140625" style="22" bestFit="1" customWidth="1"/>
    <col min="6" max="6" width="12.5546875" style="22" bestFit="1" customWidth="1"/>
  </cols>
  <sheetData>
    <row r="1" spans="1:6" ht="31.8" thickBot="1" x14ac:dyDescent="0.35">
      <c r="A1" s="166" t="s">
        <v>123</v>
      </c>
      <c r="B1" s="166" t="s">
        <v>57</v>
      </c>
      <c r="C1" s="167" t="s">
        <v>117</v>
      </c>
      <c r="D1" s="168" t="s">
        <v>124</v>
      </c>
      <c r="E1" s="169" t="s">
        <v>461</v>
      </c>
      <c r="F1" s="169" t="s">
        <v>125</v>
      </c>
    </row>
    <row r="2" spans="1:6" x14ac:dyDescent="0.3">
      <c r="A2" t="s">
        <v>197</v>
      </c>
      <c r="B2" t="s">
        <v>133</v>
      </c>
      <c r="C2" t="s">
        <v>337</v>
      </c>
      <c r="D2" s="1">
        <v>44774</v>
      </c>
      <c r="E2" s="22">
        <v>1382.75</v>
      </c>
      <c r="F2" s="22">
        <v>622237.5</v>
      </c>
    </row>
    <row r="3" spans="1:6" x14ac:dyDescent="0.3">
      <c r="A3" t="s">
        <v>197</v>
      </c>
      <c r="B3" t="s">
        <v>133</v>
      </c>
      <c r="C3" t="s">
        <v>337</v>
      </c>
      <c r="D3" s="68">
        <v>44775</v>
      </c>
      <c r="E3" s="22">
        <v>1382.75</v>
      </c>
      <c r="F3" s="22">
        <v>622237.5</v>
      </c>
    </row>
    <row r="4" spans="1:6" x14ac:dyDescent="0.3">
      <c r="A4" t="s">
        <v>197</v>
      </c>
      <c r="B4" t="s">
        <v>133</v>
      </c>
      <c r="C4" t="s">
        <v>332</v>
      </c>
      <c r="D4" s="68">
        <v>44776</v>
      </c>
      <c r="E4" s="22">
        <v>1028.5999999999999</v>
      </c>
      <c r="F4" s="22">
        <v>462869.99999999994</v>
      </c>
    </row>
    <row r="5" spans="1:6" x14ac:dyDescent="0.3">
      <c r="A5" t="s">
        <v>197</v>
      </c>
      <c r="B5" t="s">
        <v>133</v>
      </c>
      <c r="C5" t="s">
        <v>335</v>
      </c>
      <c r="D5" s="68">
        <v>44777</v>
      </c>
      <c r="E5" s="22">
        <v>910.5</v>
      </c>
      <c r="F5" s="22">
        <v>409725</v>
      </c>
    </row>
    <row r="6" spans="1:6" x14ac:dyDescent="0.3">
      <c r="A6" t="s">
        <v>197</v>
      </c>
      <c r="B6" t="s">
        <v>133</v>
      </c>
      <c r="C6" t="s">
        <v>338</v>
      </c>
      <c r="D6" s="68">
        <v>44778</v>
      </c>
      <c r="E6" s="22">
        <v>872.74</v>
      </c>
      <c r="F6" s="22">
        <v>392733</v>
      </c>
    </row>
    <row r="7" spans="1:6" x14ac:dyDescent="0.3">
      <c r="A7" t="s">
        <v>197</v>
      </c>
      <c r="B7" t="s">
        <v>133</v>
      </c>
      <c r="C7" t="s">
        <v>338</v>
      </c>
      <c r="D7" s="68">
        <v>44781</v>
      </c>
      <c r="E7" s="22">
        <v>872.74</v>
      </c>
      <c r="F7" s="22">
        <v>392733</v>
      </c>
    </row>
    <row r="8" spans="1:6" x14ac:dyDescent="0.3">
      <c r="A8" t="s">
        <v>197</v>
      </c>
      <c r="B8" t="s">
        <v>133</v>
      </c>
      <c r="C8" t="s">
        <v>338</v>
      </c>
      <c r="D8" s="68">
        <v>44782</v>
      </c>
      <c r="E8" s="22">
        <v>872.74</v>
      </c>
      <c r="F8" s="22">
        <v>392733</v>
      </c>
    </row>
    <row r="9" spans="1:6" x14ac:dyDescent="0.3">
      <c r="A9" t="s">
        <v>197</v>
      </c>
      <c r="B9" t="s">
        <v>133</v>
      </c>
      <c r="C9" t="s">
        <v>338</v>
      </c>
      <c r="D9" s="68">
        <v>44783</v>
      </c>
      <c r="E9" s="22">
        <v>872.74</v>
      </c>
      <c r="F9" s="22">
        <v>392733</v>
      </c>
    </row>
    <row r="10" spans="1:6" x14ac:dyDescent="0.3">
      <c r="A10" t="s">
        <v>197</v>
      </c>
      <c r="B10" t="s">
        <v>133</v>
      </c>
      <c r="C10" t="s">
        <v>338</v>
      </c>
      <c r="D10" s="68">
        <v>44784</v>
      </c>
      <c r="E10" s="22">
        <v>872.74</v>
      </c>
      <c r="F10" s="22">
        <v>392733</v>
      </c>
    </row>
    <row r="11" spans="1:6" x14ac:dyDescent="0.3">
      <c r="A11" t="s">
        <v>197</v>
      </c>
      <c r="B11" t="s">
        <v>133</v>
      </c>
      <c r="C11" t="s">
        <v>339</v>
      </c>
      <c r="D11" s="68">
        <v>44785</v>
      </c>
      <c r="E11" s="22">
        <v>755.25</v>
      </c>
      <c r="F11" s="22">
        <v>339862.5</v>
      </c>
    </row>
    <row r="12" spans="1:6" x14ac:dyDescent="0.3">
      <c r="A12" t="s">
        <v>197</v>
      </c>
      <c r="B12" t="s">
        <v>133</v>
      </c>
      <c r="C12" t="s">
        <v>339</v>
      </c>
      <c r="D12" s="68">
        <v>44788</v>
      </c>
      <c r="E12" s="22">
        <v>755.25</v>
      </c>
      <c r="F12" s="22">
        <v>339862.5</v>
      </c>
    </row>
    <row r="13" spans="1:6" x14ac:dyDescent="0.3">
      <c r="A13" t="s">
        <v>197</v>
      </c>
      <c r="B13" t="s">
        <v>133</v>
      </c>
      <c r="C13" t="s">
        <v>343</v>
      </c>
      <c r="D13" s="68">
        <v>44789</v>
      </c>
      <c r="E13" s="22">
        <v>1447.5</v>
      </c>
      <c r="F13" s="22">
        <v>651375</v>
      </c>
    </row>
    <row r="14" spans="1:6" x14ac:dyDescent="0.3">
      <c r="A14" t="s">
        <v>197</v>
      </c>
      <c r="B14" t="s">
        <v>133</v>
      </c>
      <c r="C14" t="s">
        <v>198</v>
      </c>
      <c r="D14" s="68">
        <v>44790</v>
      </c>
      <c r="E14" s="22">
        <v>936.4666666666667</v>
      </c>
      <c r="F14" s="22">
        <v>421410</v>
      </c>
    </row>
    <row r="15" spans="1:6" x14ac:dyDescent="0.3">
      <c r="A15" t="s">
        <v>197</v>
      </c>
      <c r="B15" t="s">
        <v>133</v>
      </c>
      <c r="C15" t="s">
        <v>198</v>
      </c>
      <c r="D15" s="68">
        <v>44791</v>
      </c>
      <c r="E15" s="22">
        <v>936.4666666666667</v>
      </c>
      <c r="F15" s="22">
        <v>421410</v>
      </c>
    </row>
    <row r="16" spans="1:6" x14ac:dyDescent="0.3">
      <c r="A16" t="s">
        <v>197</v>
      </c>
      <c r="B16" t="s">
        <v>133</v>
      </c>
      <c r="C16" t="s">
        <v>198</v>
      </c>
      <c r="D16" s="68">
        <v>44792</v>
      </c>
      <c r="E16" s="22">
        <v>936.4666666666667</v>
      </c>
      <c r="F16" s="22">
        <v>421410</v>
      </c>
    </row>
    <row r="17" spans="1:6" x14ac:dyDescent="0.3">
      <c r="A17" t="s">
        <v>197</v>
      </c>
      <c r="B17" t="s">
        <v>133</v>
      </c>
      <c r="C17" t="s">
        <v>340</v>
      </c>
      <c r="D17" s="68">
        <v>44795</v>
      </c>
      <c r="E17" s="22">
        <v>1103.8499999999999</v>
      </c>
      <c r="F17" s="22">
        <v>496732.49999999994</v>
      </c>
    </row>
    <row r="18" spans="1:6" x14ac:dyDescent="0.3">
      <c r="A18" t="s">
        <v>197</v>
      </c>
      <c r="B18" t="s">
        <v>133</v>
      </c>
      <c r="C18" t="s">
        <v>340</v>
      </c>
      <c r="D18" s="68">
        <v>44796</v>
      </c>
      <c r="E18" s="22">
        <v>1103.8499999999999</v>
      </c>
      <c r="F18" s="22">
        <v>496732.49999999994</v>
      </c>
    </row>
    <row r="19" spans="1:6" x14ac:dyDescent="0.3">
      <c r="A19" t="s">
        <v>197</v>
      </c>
      <c r="B19" t="s">
        <v>133</v>
      </c>
      <c r="C19" t="s">
        <v>341</v>
      </c>
      <c r="D19" s="68">
        <v>44797</v>
      </c>
      <c r="E19" s="22">
        <v>1338.7</v>
      </c>
      <c r="F19" s="22">
        <v>602415</v>
      </c>
    </row>
    <row r="20" spans="1:6" x14ac:dyDescent="0.3">
      <c r="A20" t="s">
        <v>197</v>
      </c>
      <c r="B20" t="s">
        <v>133</v>
      </c>
      <c r="C20" t="s">
        <v>342</v>
      </c>
      <c r="D20" s="68">
        <v>44798</v>
      </c>
      <c r="E20" s="22">
        <v>1308.0999999999999</v>
      </c>
      <c r="F20" s="22">
        <v>588645</v>
      </c>
    </row>
    <row r="21" spans="1:6" x14ac:dyDescent="0.3">
      <c r="A21" t="s">
        <v>197</v>
      </c>
      <c r="B21" t="s">
        <v>133</v>
      </c>
      <c r="C21" t="s">
        <v>342</v>
      </c>
      <c r="D21" s="68">
        <v>44799</v>
      </c>
      <c r="E21" s="22">
        <v>1308.0999999999999</v>
      </c>
      <c r="F21" s="22">
        <v>588645</v>
      </c>
    </row>
    <row r="22" spans="1:6" x14ac:dyDescent="0.3">
      <c r="A22" t="s">
        <v>248</v>
      </c>
      <c r="B22" t="s">
        <v>133</v>
      </c>
      <c r="C22" t="s">
        <v>323</v>
      </c>
      <c r="D22" s="68">
        <v>44774</v>
      </c>
      <c r="E22" s="22">
        <v>854.6</v>
      </c>
      <c r="F22" s="22">
        <v>384570</v>
      </c>
    </row>
    <row r="23" spans="1:6" x14ac:dyDescent="0.3">
      <c r="A23" t="s">
        <v>248</v>
      </c>
      <c r="B23" t="s">
        <v>133</v>
      </c>
      <c r="C23" t="s">
        <v>323</v>
      </c>
      <c r="D23" s="68">
        <v>44775</v>
      </c>
      <c r="E23" s="22">
        <v>854.6</v>
      </c>
      <c r="F23" s="22">
        <v>384570</v>
      </c>
    </row>
    <row r="24" spans="1:6" x14ac:dyDescent="0.3">
      <c r="A24" t="s">
        <v>248</v>
      </c>
      <c r="B24" t="s">
        <v>133</v>
      </c>
      <c r="C24" t="s">
        <v>314</v>
      </c>
      <c r="D24" s="68">
        <v>44776</v>
      </c>
      <c r="E24" s="22">
        <v>666.9</v>
      </c>
      <c r="F24" s="22">
        <v>300105</v>
      </c>
    </row>
    <row r="25" spans="1:6" x14ac:dyDescent="0.3">
      <c r="A25" t="s">
        <v>248</v>
      </c>
      <c r="B25" t="s">
        <v>133</v>
      </c>
      <c r="C25" t="s">
        <v>309</v>
      </c>
      <c r="D25" s="68">
        <v>44777</v>
      </c>
      <c r="E25" s="22">
        <v>681.96249999999998</v>
      </c>
      <c r="F25" s="22">
        <v>306883.125</v>
      </c>
    </row>
    <row r="26" spans="1:6" x14ac:dyDescent="0.3">
      <c r="A26" t="s">
        <v>248</v>
      </c>
      <c r="B26" t="s">
        <v>133</v>
      </c>
      <c r="C26" t="s">
        <v>309</v>
      </c>
      <c r="D26" s="68">
        <v>44778</v>
      </c>
      <c r="E26" s="22">
        <v>681.96249999999998</v>
      </c>
      <c r="F26" s="22">
        <v>306883.125</v>
      </c>
    </row>
    <row r="27" spans="1:6" x14ac:dyDescent="0.3">
      <c r="A27" t="s">
        <v>248</v>
      </c>
      <c r="B27" t="s">
        <v>133</v>
      </c>
      <c r="C27" t="s">
        <v>309</v>
      </c>
      <c r="D27" s="68">
        <v>44781</v>
      </c>
      <c r="E27" s="22">
        <v>681.96249999999998</v>
      </c>
      <c r="F27" s="22">
        <v>306883.125</v>
      </c>
    </row>
    <row r="28" spans="1:6" x14ac:dyDescent="0.3">
      <c r="A28" t="s">
        <v>248</v>
      </c>
      <c r="B28" t="s">
        <v>133</v>
      </c>
      <c r="C28" t="s">
        <v>309</v>
      </c>
      <c r="D28" s="68">
        <v>44782</v>
      </c>
      <c r="E28" s="22">
        <v>681.96249999999998</v>
      </c>
      <c r="F28" s="22">
        <v>306883.125</v>
      </c>
    </row>
    <row r="29" spans="1:6" x14ac:dyDescent="0.3">
      <c r="A29" t="s">
        <v>248</v>
      </c>
      <c r="B29" t="s">
        <v>133</v>
      </c>
      <c r="C29" t="s">
        <v>309</v>
      </c>
      <c r="D29" s="68">
        <v>44783</v>
      </c>
      <c r="E29" s="22">
        <v>681.96249999999998</v>
      </c>
      <c r="F29" s="22">
        <v>306883.125</v>
      </c>
    </row>
    <row r="30" spans="1:6" x14ac:dyDescent="0.3">
      <c r="A30" t="s">
        <v>248</v>
      </c>
      <c r="B30" t="s">
        <v>133</v>
      </c>
      <c r="C30" t="s">
        <v>309</v>
      </c>
      <c r="D30" s="68">
        <v>44784</v>
      </c>
      <c r="E30" s="22">
        <v>681.96249999999998</v>
      </c>
      <c r="F30" s="22">
        <v>306883.125</v>
      </c>
    </row>
    <row r="31" spans="1:6" x14ac:dyDescent="0.3">
      <c r="A31" t="s">
        <v>248</v>
      </c>
      <c r="B31" t="s">
        <v>133</v>
      </c>
      <c r="C31" t="s">
        <v>309</v>
      </c>
      <c r="D31" s="68">
        <v>44785</v>
      </c>
      <c r="E31" s="22">
        <v>681.96249999999998</v>
      </c>
      <c r="F31" s="22">
        <v>306883.125</v>
      </c>
    </row>
    <row r="32" spans="1:6" x14ac:dyDescent="0.3">
      <c r="A32" t="s">
        <v>248</v>
      </c>
      <c r="B32" t="s">
        <v>133</v>
      </c>
      <c r="C32" t="s">
        <v>309</v>
      </c>
      <c r="D32" s="68">
        <v>44788</v>
      </c>
      <c r="E32" s="22">
        <v>681.96249999999998</v>
      </c>
      <c r="F32" s="22">
        <v>306883.125</v>
      </c>
    </row>
    <row r="33" spans="1:6" x14ac:dyDescent="0.3">
      <c r="A33" t="s">
        <v>248</v>
      </c>
      <c r="B33" t="s">
        <v>133</v>
      </c>
      <c r="C33" t="s">
        <v>315</v>
      </c>
      <c r="D33" s="68">
        <v>44789</v>
      </c>
      <c r="E33" s="22">
        <v>762.5333333333333</v>
      </c>
      <c r="F33" s="22">
        <v>343140</v>
      </c>
    </row>
    <row r="34" spans="1:6" x14ac:dyDescent="0.3">
      <c r="A34" t="s">
        <v>248</v>
      </c>
      <c r="B34" t="s">
        <v>133</v>
      </c>
      <c r="C34" t="s">
        <v>315</v>
      </c>
      <c r="D34" s="68">
        <v>44790</v>
      </c>
      <c r="E34" s="22">
        <v>762.5333333333333</v>
      </c>
      <c r="F34" s="22">
        <v>343140</v>
      </c>
    </row>
    <row r="35" spans="1:6" x14ac:dyDescent="0.3">
      <c r="A35" t="s">
        <v>248</v>
      </c>
      <c r="B35" t="s">
        <v>133</v>
      </c>
      <c r="C35" t="s">
        <v>315</v>
      </c>
      <c r="D35" s="68">
        <v>44791</v>
      </c>
      <c r="E35" s="22">
        <v>762.5333333333333</v>
      </c>
      <c r="F35" s="22">
        <v>343140</v>
      </c>
    </row>
    <row r="36" spans="1:6" x14ac:dyDescent="0.3">
      <c r="A36" t="s">
        <v>248</v>
      </c>
      <c r="B36" t="s">
        <v>133</v>
      </c>
      <c r="C36" t="s">
        <v>315</v>
      </c>
      <c r="D36" s="68">
        <v>44792</v>
      </c>
      <c r="E36" s="22">
        <v>762.5333333333333</v>
      </c>
      <c r="F36" s="22">
        <v>343140</v>
      </c>
    </row>
    <row r="37" spans="1:6" x14ac:dyDescent="0.3">
      <c r="A37" t="s">
        <v>248</v>
      </c>
      <c r="B37" t="s">
        <v>133</v>
      </c>
      <c r="C37" t="s">
        <v>315</v>
      </c>
      <c r="D37" s="68">
        <v>44795</v>
      </c>
      <c r="E37" s="22">
        <v>762.5333333333333</v>
      </c>
      <c r="F37" s="22">
        <v>343140</v>
      </c>
    </row>
    <row r="38" spans="1:6" x14ac:dyDescent="0.3">
      <c r="A38" t="s">
        <v>248</v>
      </c>
      <c r="B38" t="s">
        <v>133</v>
      </c>
      <c r="C38" t="s">
        <v>315</v>
      </c>
      <c r="D38" s="68">
        <v>44796</v>
      </c>
      <c r="E38" s="22">
        <v>762.5333333333333</v>
      </c>
      <c r="F38" s="22">
        <v>343140</v>
      </c>
    </row>
    <row r="39" spans="1:6" x14ac:dyDescent="0.3">
      <c r="A39" t="s">
        <v>248</v>
      </c>
      <c r="B39" t="s">
        <v>133</v>
      </c>
      <c r="C39" t="s">
        <v>316</v>
      </c>
      <c r="D39" s="68">
        <v>44797</v>
      </c>
      <c r="E39" s="22">
        <v>400.1</v>
      </c>
      <c r="F39" s="22">
        <v>180045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Diagrama_GANTT">
    <tabColor theme="7" tint="0.39997558519241921"/>
  </sheetPr>
  <dimension ref="A1"/>
  <sheetViews>
    <sheetView showGridLines="0" topLeftCell="A40" zoomScaleNormal="100" workbookViewId="0">
      <pane xSplit="1" topLeftCell="B1" activePane="topRight" state="frozenSplit"/>
      <selection activeCell="A112" sqref="A112"/>
      <selection pane="topRight" activeCell="M9" sqref="M9"/>
    </sheetView>
  </sheetViews>
  <sheetFormatPr baseColWidth="10" defaultRowHeight="14.4" x14ac:dyDescent="0.3"/>
  <cols>
    <col min="1" max="1" width="27.77734375" customWidth="1"/>
    <col min="6" max="6" width="22.33203125" customWidth="1"/>
  </cols>
  <sheetData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Resumen_Volumen">
    <tabColor theme="8" tint="-0.249977111117893"/>
  </sheetPr>
  <dimension ref="A19:HF29"/>
  <sheetViews>
    <sheetView topLeftCell="A7" workbookViewId="0">
      <selection activeCell="C39" sqref="C39"/>
    </sheetView>
  </sheetViews>
  <sheetFormatPr baseColWidth="10" defaultRowHeight="14.4" x14ac:dyDescent="0.3"/>
  <cols>
    <col min="1" max="1" width="19.33203125" bestFit="1" customWidth="1"/>
    <col min="2" max="2" width="23.77734375" bestFit="1" customWidth="1"/>
    <col min="3" max="3" width="9.5546875" bestFit="1" customWidth="1"/>
    <col min="4" max="4" width="7" bestFit="1" customWidth="1"/>
    <col min="5" max="5" width="6.88671875" bestFit="1" customWidth="1"/>
    <col min="6" max="7" width="8" bestFit="1" customWidth="1"/>
    <col min="8" max="16" width="7" bestFit="1" customWidth="1"/>
    <col min="17" max="17" width="12.88671875" bestFit="1" customWidth="1"/>
    <col min="18" max="18" width="11.33203125" bestFit="1" customWidth="1"/>
    <col min="19" max="214" width="10.6640625" bestFit="1" customWidth="1"/>
    <col min="215" max="215" width="8" bestFit="1" customWidth="1"/>
    <col min="216" max="216" width="12.5546875" bestFit="1" customWidth="1"/>
  </cols>
  <sheetData>
    <row r="19" spans="1:214" x14ac:dyDescent="0.3">
      <c r="D19" t="s">
        <v>130</v>
      </c>
    </row>
    <row r="20" spans="1:214" x14ac:dyDescent="0.3">
      <c r="A20" s="27" t="s">
        <v>128</v>
      </c>
      <c r="B20" s="23"/>
      <c r="C20" s="27" t="s">
        <v>124</v>
      </c>
    </row>
    <row r="21" spans="1:214" s="26" customFormat="1" x14ac:dyDescent="0.3">
      <c r="A21" s="23"/>
      <c r="B21" s="23"/>
      <c r="C21" s="23" t="s">
        <v>199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</row>
    <row r="22" spans="1:214" x14ac:dyDescent="0.3">
      <c r="A22" s="25" t="s">
        <v>127</v>
      </c>
      <c r="B22" s="25" t="s">
        <v>117</v>
      </c>
      <c r="C22" s="23" t="s">
        <v>200</v>
      </c>
    </row>
    <row r="23" spans="1:214" x14ac:dyDescent="0.3">
      <c r="A23" s="24" t="s">
        <v>248</v>
      </c>
      <c r="B23" s="24" t="s">
        <v>309</v>
      </c>
      <c r="C23" s="23">
        <v>5455.7</v>
      </c>
    </row>
    <row r="24" spans="1:214" x14ac:dyDescent="0.3">
      <c r="A24" s="23"/>
      <c r="B24" s="24" t="s">
        <v>314</v>
      </c>
      <c r="C24" s="23">
        <v>666.9</v>
      </c>
    </row>
    <row r="25" spans="1:214" x14ac:dyDescent="0.3">
      <c r="A25" s="23"/>
      <c r="B25" s="24" t="s">
        <v>315</v>
      </c>
      <c r="C25" s="23">
        <v>4575.2</v>
      </c>
    </row>
    <row r="26" spans="1:214" x14ac:dyDescent="0.3">
      <c r="A26" s="23"/>
      <c r="B26" s="24" t="s">
        <v>316</v>
      </c>
      <c r="C26" s="23">
        <v>400.1</v>
      </c>
    </row>
    <row r="27" spans="1:214" x14ac:dyDescent="0.3">
      <c r="A27" s="23"/>
      <c r="B27" s="24" t="s">
        <v>323</v>
      </c>
      <c r="C27" s="23">
        <v>1709.2</v>
      </c>
    </row>
    <row r="28" spans="1:214" x14ac:dyDescent="0.3">
      <c r="A28" s="24" t="s">
        <v>369</v>
      </c>
      <c r="B28" s="23"/>
      <c r="C28" s="23">
        <v>12807.1</v>
      </c>
    </row>
    <row r="29" spans="1:214" x14ac:dyDescent="0.3">
      <c r="A29" s="24" t="s">
        <v>126</v>
      </c>
      <c r="B29" s="23"/>
      <c r="C29" s="23">
        <v>12807.1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esumen_Costo">
    <tabColor theme="9" tint="-0.249977111117893"/>
  </sheetPr>
  <dimension ref="A20:HF40"/>
  <sheetViews>
    <sheetView topLeftCell="A22" workbookViewId="0">
      <selection activeCell="C33" sqref="A33:C33"/>
    </sheetView>
  </sheetViews>
  <sheetFormatPr baseColWidth="10" defaultRowHeight="14.4" x14ac:dyDescent="0.3"/>
  <cols>
    <col min="1" max="1" width="26.33203125" bestFit="1" customWidth="1"/>
    <col min="2" max="2" width="23.77734375" bestFit="1" customWidth="1"/>
    <col min="3" max="3" width="12.88671875" bestFit="1" customWidth="1"/>
    <col min="4" max="4" width="10.44140625" bestFit="1" customWidth="1"/>
    <col min="5" max="5" width="11.88671875" bestFit="1" customWidth="1"/>
    <col min="6" max="6" width="12" bestFit="1" customWidth="1"/>
    <col min="7" max="7" width="11.88671875" bestFit="1" customWidth="1"/>
    <col min="8" max="8" width="12" bestFit="1" customWidth="1"/>
    <col min="9" max="9" width="11.5546875" bestFit="1" customWidth="1"/>
    <col min="10" max="10" width="10.5546875" bestFit="1" customWidth="1"/>
    <col min="11" max="11" width="11.5546875" bestFit="1" customWidth="1"/>
    <col min="12" max="12" width="10.5546875" bestFit="1" customWidth="1"/>
    <col min="13" max="13" width="7" bestFit="1" customWidth="1"/>
    <col min="14" max="14" width="11.33203125" bestFit="1" customWidth="1"/>
    <col min="15" max="15" width="7" bestFit="1" customWidth="1"/>
    <col min="16" max="17" width="12.88671875" bestFit="1" customWidth="1"/>
    <col min="18" max="18" width="11.33203125" bestFit="1" customWidth="1"/>
    <col min="19" max="214" width="10.6640625" bestFit="1" customWidth="1"/>
    <col min="215" max="215" width="8" bestFit="1" customWidth="1"/>
    <col min="216" max="216" width="12.5546875" bestFit="1" customWidth="1"/>
  </cols>
  <sheetData>
    <row r="20" spans="1:214" x14ac:dyDescent="0.3">
      <c r="A20" s="27" t="s">
        <v>129</v>
      </c>
      <c r="B20" s="23"/>
      <c r="C20" s="27" t="s">
        <v>124</v>
      </c>
    </row>
    <row r="21" spans="1:214" s="26" customFormat="1" x14ac:dyDescent="0.3">
      <c r="A21" s="23"/>
      <c r="B21" s="23"/>
      <c r="C21" s="23" t="s">
        <v>199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</row>
    <row r="22" spans="1:214" x14ac:dyDescent="0.3">
      <c r="A22" s="25" t="s">
        <v>127</v>
      </c>
      <c r="B22" s="25" t="s">
        <v>117</v>
      </c>
      <c r="C22" s="28" t="s">
        <v>200</v>
      </c>
    </row>
    <row r="23" spans="1:214" x14ac:dyDescent="0.3">
      <c r="A23" s="24" t="s">
        <v>197</v>
      </c>
      <c r="B23" s="24" t="s">
        <v>198</v>
      </c>
      <c r="C23" s="28">
        <v>1264230</v>
      </c>
    </row>
    <row r="24" spans="1:214" x14ac:dyDescent="0.3">
      <c r="A24" s="23"/>
      <c r="B24" s="24" t="s">
        <v>337</v>
      </c>
      <c r="C24" s="28">
        <v>1244475</v>
      </c>
    </row>
    <row r="25" spans="1:214" x14ac:dyDescent="0.3">
      <c r="A25" s="23"/>
      <c r="B25" s="24" t="s">
        <v>338</v>
      </c>
      <c r="C25" s="28">
        <v>1963665</v>
      </c>
    </row>
    <row r="26" spans="1:214" x14ac:dyDescent="0.3">
      <c r="A26" s="23"/>
      <c r="B26" s="24" t="s">
        <v>339</v>
      </c>
      <c r="C26" s="28">
        <v>679725</v>
      </c>
    </row>
    <row r="27" spans="1:214" x14ac:dyDescent="0.3">
      <c r="A27" s="23"/>
      <c r="B27" s="24" t="s">
        <v>343</v>
      </c>
      <c r="C27" s="28">
        <v>651375</v>
      </c>
    </row>
    <row r="28" spans="1:214" x14ac:dyDescent="0.3">
      <c r="A28" s="23"/>
      <c r="B28" s="24" t="s">
        <v>332</v>
      </c>
      <c r="C28" s="28">
        <v>462869.99999999994</v>
      </c>
    </row>
    <row r="29" spans="1:214" x14ac:dyDescent="0.3">
      <c r="A29" s="23"/>
      <c r="B29" s="24" t="s">
        <v>335</v>
      </c>
      <c r="C29" s="28">
        <v>409725</v>
      </c>
    </row>
    <row r="30" spans="1:214" x14ac:dyDescent="0.3">
      <c r="A30" s="23"/>
      <c r="B30" s="24" t="s">
        <v>340</v>
      </c>
      <c r="C30" s="28">
        <v>993464.99999999988</v>
      </c>
    </row>
    <row r="31" spans="1:214" x14ac:dyDescent="0.3">
      <c r="A31" s="23"/>
      <c r="B31" s="24" t="s">
        <v>341</v>
      </c>
      <c r="C31" s="28">
        <v>602415</v>
      </c>
    </row>
    <row r="32" spans="1:214" x14ac:dyDescent="0.3">
      <c r="A32" s="23"/>
      <c r="B32" s="24" t="s">
        <v>342</v>
      </c>
      <c r="C32" s="28">
        <v>1177290</v>
      </c>
    </row>
    <row r="33" spans="1:3" x14ac:dyDescent="0.3">
      <c r="A33" s="24" t="s">
        <v>201</v>
      </c>
      <c r="B33" s="23"/>
      <c r="C33" s="28">
        <v>9449235</v>
      </c>
    </row>
    <row r="34" spans="1:3" x14ac:dyDescent="0.3">
      <c r="A34" s="24" t="s">
        <v>248</v>
      </c>
      <c r="B34" s="24" t="s">
        <v>309</v>
      </c>
      <c r="C34" s="28">
        <v>2455065</v>
      </c>
    </row>
    <row r="35" spans="1:3" x14ac:dyDescent="0.3">
      <c r="A35" s="23"/>
      <c r="B35" s="24" t="s">
        <v>314</v>
      </c>
      <c r="C35" s="28">
        <v>300105</v>
      </c>
    </row>
    <row r="36" spans="1:3" x14ac:dyDescent="0.3">
      <c r="A36" s="23"/>
      <c r="B36" s="24" t="s">
        <v>315</v>
      </c>
      <c r="C36" s="28">
        <v>2058840</v>
      </c>
    </row>
    <row r="37" spans="1:3" x14ac:dyDescent="0.3">
      <c r="A37" s="23"/>
      <c r="B37" s="24" t="s">
        <v>316</v>
      </c>
      <c r="C37" s="28">
        <v>180045</v>
      </c>
    </row>
    <row r="38" spans="1:3" x14ac:dyDescent="0.3">
      <c r="A38" s="23"/>
      <c r="B38" s="24" t="s">
        <v>323</v>
      </c>
      <c r="C38" s="28">
        <v>769140</v>
      </c>
    </row>
    <row r="39" spans="1:3" x14ac:dyDescent="0.3">
      <c r="A39" s="24" t="s">
        <v>369</v>
      </c>
      <c r="B39" s="23"/>
      <c r="C39" s="28">
        <v>5763195</v>
      </c>
    </row>
    <row r="40" spans="1:3" x14ac:dyDescent="0.3">
      <c r="A40" s="24" t="s">
        <v>126</v>
      </c>
      <c r="B40" s="23"/>
      <c r="C40" s="28">
        <v>15212430</v>
      </c>
    </row>
  </sheetData>
  <pageMargins left="0.7" right="0.7" top="0.75" bottom="0.75" header="0.3" footer="0.3"/>
  <pageSetup orientation="portrait" horizontalDpi="0" verticalDpi="0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36EA4-2885-4D20-AC86-585B9EEEF534}">
  <sheetPr codeName="Detalles_Simulaciones">
    <tabColor rgb="FFFF0000"/>
  </sheetPr>
  <dimension ref="A1:K16"/>
  <sheetViews>
    <sheetView zoomScale="85" zoomScaleNormal="85" workbookViewId="0">
      <selection activeCell="G42" sqref="G42"/>
    </sheetView>
  </sheetViews>
  <sheetFormatPr baseColWidth="10" defaultRowHeight="14.4" x14ac:dyDescent="0.3"/>
  <cols>
    <col min="1" max="1" width="25.5546875" customWidth="1"/>
    <col min="2" max="2" width="25.5546875" bestFit="1" customWidth="1"/>
    <col min="3" max="3" width="18.33203125" customWidth="1"/>
    <col min="4" max="4" width="23.109375" bestFit="1" customWidth="1"/>
    <col min="5" max="5" width="24.44140625" customWidth="1"/>
    <col min="6" max="6" width="22.109375" customWidth="1"/>
    <col min="7" max="7" width="35.88671875" customWidth="1"/>
    <col min="8" max="8" width="30.88671875" customWidth="1"/>
    <col min="9" max="9" width="25.5546875" customWidth="1"/>
    <col min="10" max="10" width="30.109375" customWidth="1"/>
    <col min="11" max="11" width="30.6640625" customWidth="1"/>
  </cols>
  <sheetData>
    <row r="1" spans="1:11" ht="15.6" x14ac:dyDescent="0.3">
      <c r="A1" s="142" t="s">
        <v>361</v>
      </c>
      <c r="B1" s="142" t="s">
        <v>123</v>
      </c>
      <c r="C1" s="142" t="s">
        <v>57</v>
      </c>
      <c r="D1" s="142" t="s">
        <v>117</v>
      </c>
      <c r="E1" s="142" t="s">
        <v>362</v>
      </c>
      <c r="F1" s="142" t="s">
        <v>363</v>
      </c>
      <c r="G1" s="142" t="s">
        <v>364</v>
      </c>
      <c r="H1" s="142" t="s">
        <v>365</v>
      </c>
      <c r="I1" s="142" t="s">
        <v>366</v>
      </c>
      <c r="J1" s="142" t="s">
        <v>367</v>
      </c>
      <c r="K1" s="142" t="s">
        <v>368</v>
      </c>
    </row>
    <row r="2" spans="1:11" x14ac:dyDescent="0.3">
      <c r="A2" t="s">
        <v>459</v>
      </c>
      <c r="B2" t="s">
        <v>197</v>
      </c>
      <c r="C2" t="s">
        <v>133</v>
      </c>
      <c r="D2" t="s">
        <v>332</v>
      </c>
      <c r="E2">
        <v>17051</v>
      </c>
      <c r="F2">
        <v>330.4</v>
      </c>
      <c r="G2">
        <v>399.7</v>
      </c>
      <c r="H2">
        <v>437.01156943508755</v>
      </c>
      <c r="I2">
        <v>4451457.5</v>
      </c>
      <c r="J2">
        <v>1181827.8</v>
      </c>
      <c r="K2">
        <v>36.299999999999997</v>
      </c>
    </row>
    <row r="3" spans="1:11" x14ac:dyDescent="0.3">
      <c r="A3" t="s">
        <v>459</v>
      </c>
      <c r="B3" t="s">
        <v>197</v>
      </c>
      <c r="C3" t="s">
        <v>133</v>
      </c>
      <c r="D3" t="s">
        <v>335</v>
      </c>
      <c r="E3">
        <v>19363</v>
      </c>
      <c r="F3">
        <v>290.89999999999998</v>
      </c>
      <c r="G3">
        <v>352</v>
      </c>
      <c r="H3">
        <v>384.87679969824535</v>
      </c>
      <c r="I3">
        <v>4451457.5</v>
      </c>
      <c r="J3">
        <v>1181827.8</v>
      </c>
      <c r="K3">
        <v>32</v>
      </c>
    </row>
    <row r="4" spans="1:11" x14ac:dyDescent="0.3">
      <c r="A4" t="s">
        <v>459</v>
      </c>
      <c r="B4" t="s">
        <v>197</v>
      </c>
      <c r="C4" t="s">
        <v>133</v>
      </c>
      <c r="D4" t="s">
        <v>198</v>
      </c>
      <c r="E4">
        <v>17051</v>
      </c>
      <c r="F4">
        <v>330.4</v>
      </c>
      <c r="G4">
        <v>399.7</v>
      </c>
      <c r="H4">
        <v>437.01156943508755</v>
      </c>
      <c r="I4">
        <v>4451457.5</v>
      </c>
      <c r="J4">
        <v>1181827.8</v>
      </c>
      <c r="K4">
        <v>36.299999999999997</v>
      </c>
    </row>
    <row r="5" spans="1:11" x14ac:dyDescent="0.3">
      <c r="A5" t="s">
        <v>459</v>
      </c>
      <c r="B5" t="s">
        <v>197</v>
      </c>
      <c r="C5" t="s">
        <v>133</v>
      </c>
      <c r="D5" t="s">
        <v>337</v>
      </c>
      <c r="E5">
        <v>19363</v>
      </c>
      <c r="F5">
        <v>290.89999999999998</v>
      </c>
      <c r="G5">
        <v>352</v>
      </c>
      <c r="H5">
        <v>384.87679969824535</v>
      </c>
      <c r="I5">
        <v>4451457.5</v>
      </c>
      <c r="J5">
        <v>1181827.8</v>
      </c>
      <c r="K5">
        <v>32</v>
      </c>
    </row>
    <row r="6" spans="1:11" x14ac:dyDescent="0.3">
      <c r="A6" t="s">
        <v>459</v>
      </c>
      <c r="B6" t="s">
        <v>197</v>
      </c>
      <c r="C6" t="s">
        <v>133</v>
      </c>
      <c r="D6" t="s">
        <v>338</v>
      </c>
      <c r="E6">
        <v>14912.4</v>
      </c>
      <c r="F6">
        <v>377.8</v>
      </c>
      <c r="G6">
        <v>457.1</v>
      </c>
      <c r="H6">
        <v>499.8186523859809</v>
      </c>
      <c r="I6">
        <v>4451457.5</v>
      </c>
      <c r="J6">
        <v>1181804.8</v>
      </c>
      <c r="K6">
        <v>41.6</v>
      </c>
    </row>
    <row r="7" spans="1:11" x14ac:dyDescent="0.3">
      <c r="A7" t="s">
        <v>459</v>
      </c>
      <c r="B7" t="s">
        <v>197</v>
      </c>
      <c r="C7" t="s">
        <v>133</v>
      </c>
      <c r="D7" t="s">
        <v>339</v>
      </c>
      <c r="E7">
        <v>14912.4</v>
      </c>
      <c r="F7">
        <v>377.8</v>
      </c>
      <c r="G7">
        <v>457.1</v>
      </c>
      <c r="H7">
        <v>499.8186523859809</v>
      </c>
      <c r="I7">
        <v>4451457.5</v>
      </c>
      <c r="J7">
        <v>1181804.8</v>
      </c>
      <c r="K7">
        <v>41.6</v>
      </c>
    </row>
    <row r="8" spans="1:11" x14ac:dyDescent="0.3">
      <c r="A8" t="s">
        <v>459</v>
      </c>
      <c r="B8" t="s">
        <v>197</v>
      </c>
      <c r="C8" t="s">
        <v>133</v>
      </c>
      <c r="D8" t="s">
        <v>340</v>
      </c>
      <c r="E8">
        <v>18207</v>
      </c>
      <c r="F8">
        <v>309.39999999999998</v>
      </c>
      <c r="G8">
        <v>374.3</v>
      </c>
      <c r="H8">
        <v>409.24431201242857</v>
      </c>
      <c r="I8">
        <v>4451457.5</v>
      </c>
      <c r="J8">
        <v>1181827.8</v>
      </c>
      <c r="K8">
        <v>34</v>
      </c>
    </row>
    <row r="9" spans="1:11" x14ac:dyDescent="0.3">
      <c r="A9" t="s">
        <v>459</v>
      </c>
      <c r="B9" t="s">
        <v>197</v>
      </c>
      <c r="C9" t="s">
        <v>133</v>
      </c>
      <c r="D9" t="s">
        <v>341</v>
      </c>
      <c r="E9">
        <v>19074</v>
      </c>
      <c r="F9">
        <v>295.3</v>
      </c>
      <c r="G9">
        <v>357.4</v>
      </c>
      <c r="H9">
        <v>390.78626224918287</v>
      </c>
      <c r="I9">
        <v>4451457.5</v>
      </c>
      <c r="J9">
        <v>1181823.5</v>
      </c>
      <c r="K9">
        <v>32.5</v>
      </c>
    </row>
    <row r="10" spans="1:11" x14ac:dyDescent="0.3">
      <c r="A10" t="s">
        <v>459</v>
      </c>
      <c r="B10" t="s">
        <v>197</v>
      </c>
      <c r="C10" t="s">
        <v>133</v>
      </c>
      <c r="D10" t="s">
        <v>342</v>
      </c>
      <c r="E10">
        <v>19074</v>
      </c>
      <c r="F10">
        <v>295.3</v>
      </c>
      <c r="G10">
        <v>357.4</v>
      </c>
      <c r="H10">
        <v>390.78626224918287</v>
      </c>
      <c r="I10">
        <v>4451457.5</v>
      </c>
      <c r="J10">
        <v>1181826.3</v>
      </c>
      <c r="K10">
        <v>32.5</v>
      </c>
    </row>
    <row r="11" spans="1:11" x14ac:dyDescent="0.3">
      <c r="A11" t="s">
        <v>459</v>
      </c>
      <c r="B11" t="s">
        <v>197</v>
      </c>
      <c r="C11" t="s">
        <v>133</v>
      </c>
      <c r="D11" t="s">
        <v>343</v>
      </c>
      <c r="E11">
        <v>18207</v>
      </c>
      <c r="F11">
        <v>309.39999999999998</v>
      </c>
      <c r="G11">
        <v>374.3</v>
      </c>
      <c r="H11">
        <v>409.24431201242857</v>
      </c>
      <c r="I11">
        <v>4451457.5</v>
      </c>
      <c r="J11">
        <v>1181827.8</v>
      </c>
      <c r="K11">
        <v>34</v>
      </c>
    </row>
    <row r="12" spans="1:11" x14ac:dyDescent="0.3">
      <c r="A12" t="s">
        <v>460</v>
      </c>
      <c r="B12" t="s">
        <v>248</v>
      </c>
      <c r="C12" t="s">
        <v>133</v>
      </c>
      <c r="D12" t="s">
        <v>309</v>
      </c>
      <c r="E12">
        <v>14280</v>
      </c>
      <c r="F12">
        <v>351.7</v>
      </c>
      <c r="G12">
        <v>425.5</v>
      </c>
      <c r="H12">
        <v>465.25190474637026</v>
      </c>
      <c r="I12">
        <v>3895148.6</v>
      </c>
      <c r="J12">
        <v>1126446.6000000001</v>
      </c>
      <c r="K12">
        <v>38.700000000000003</v>
      </c>
    </row>
    <row r="13" spans="1:11" x14ac:dyDescent="0.3">
      <c r="A13" t="s">
        <v>460</v>
      </c>
      <c r="B13" t="s">
        <v>248</v>
      </c>
      <c r="C13" t="s">
        <v>133</v>
      </c>
      <c r="D13" t="s">
        <v>314</v>
      </c>
      <c r="E13">
        <v>14688</v>
      </c>
      <c r="F13">
        <v>341.9</v>
      </c>
      <c r="G13">
        <v>413.7</v>
      </c>
      <c r="H13">
        <v>452.33447708978599</v>
      </c>
      <c r="I13">
        <v>3895148.6</v>
      </c>
      <c r="J13">
        <v>1126453.1000000001</v>
      </c>
      <c r="K13">
        <v>37.6</v>
      </c>
    </row>
    <row r="14" spans="1:11" x14ac:dyDescent="0.3">
      <c r="A14" t="s">
        <v>460</v>
      </c>
      <c r="B14" t="s">
        <v>248</v>
      </c>
      <c r="C14" t="s">
        <v>133</v>
      </c>
      <c r="D14" t="s">
        <v>315</v>
      </c>
      <c r="E14">
        <v>14688</v>
      </c>
      <c r="F14">
        <v>341.9</v>
      </c>
      <c r="G14">
        <v>413.7</v>
      </c>
      <c r="H14">
        <v>452.33447708978599</v>
      </c>
      <c r="I14">
        <v>3895148.6</v>
      </c>
      <c r="J14">
        <v>1126462.8</v>
      </c>
      <c r="K14">
        <v>37.6</v>
      </c>
    </row>
    <row r="15" spans="1:11" x14ac:dyDescent="0.3">
      <c r="A15" t="s">
        <v>460</v>
      </c>
      <c r="B15" t="s">
        <v>248</v>
      </c>
      <c r="C15" t="s">
        <v>133</v>
      </c>
      <c r="D15" t="s">
        <v>316</v>
      </c>
      <c r="E15">
        <v>13668</v>
      </c>
      <c r="F15">
        <v>367.4</v>
      </c>
      <c r="G15">
        <v>444.5</v>
      </c>
      <c r="H15">
        <v>486.01119706338238</v>
      </c>
      <c r="I15">
        <v>3895148.6</v>
      </c>
      <c r="J15">
        <v>1126457.3</v>
      </c>
      <c r="K15">
        <v>40.4</v>
      </c>
    </row>
    <row r="16" spans="1:11" x14ac:dyDescent="0.3">
      <c r="A16" t="s">
        <v>460</v>
      </c>
      <c r="B16" t="s">
        <v>248</v>
      </c>
      <c r="C16" t="s">
        <v>133</v>
      </c>
      <c r="D16" t="s">
        <v>323</v>
      </c>
      <c r="E16">
        <v>13872</v>
      </c>
      <c r="F16">
        <v>362</v>
      </c>
      <c r="G16">
        <v>438</v>
      </c>
      <c r="H16">
        <v>478.898994513388</v>
      </c>
      <c r="I16">
        <v>3895148.6</v>
      </c>
      <c r="J16">
        <v>1126452.5</v>
      </c>
      <c r="K16">
        <v>39.799999999999997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C3630-1433-4ED7-88B4-9217221AD7B5}">
  <sheetPr codeName="Hoja1"/>
  <dimension ref="A1:E201"/>
  <sheetViews>
    <sheetView workbookViewId="0">
      <selection activeCell="E5" sqref="E5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44783.433900462966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332</v>
      </c>
      <c r="B5" s="144">
        <v>2.2000000000000002</v>
      </c>
      <c r="C5" s="144">
        <v>1028.5999999999999</v>
      </c>
      <c r="D5" s="144">
        <v>0.7</v>
      </c>
      <c r="E5" s="144">
        <v>300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67</v>
      </c>
      <c r="D14" s="144">
        <v>56.95</v>
      </c>
      <c r="E14" s="144">
        <v>13668</v>
      </c>
    </row>
    <row r="15" spans="1:5" x14ac:dyDescent="0.3">
      <c r="A15" s="144" t="s">
        <v>52</v>
      </c>
      <c r="B15" s="144" t="s">
        <v>287</v>
      </c>
      <c r="C15" s="144">
        <v>67</v>
      </c>
      <c r="D15" s="144">
        <v>56.95</v>
      </c>
      <c r="E15" s="144">
        <v>13668</v>
      </c>
    </row>
    <row r="16" spans="1:5" x14ac:dyDescent="0.3">
      <c r="A16" s="144" t="s">
        <v>54</v>
      </c>
      <c r="B16" s="144" t="s">
        <v>261</v>
      </c>
      <c r="C16" s="144">
        <v>30</v>
      </c>
      <c r="D16" s="144">
        <v>25.5</v>
      </c>
      <c r="E16" s="144">
        <v>6120</v>
      </c>
    </row>
    <row r="17" spans="1:5" x14ac:dyDescent="0.3">
      <c r="A17" s="144" t="s">
        <v>54</v>
      </c>
      <c r="B17" s="144" t="s">
        <v>263</v>
      </c>
      <c r="C17" s="144">
        <v>45</v>
      </c>
      <c r="D17" s="144">
        <v>38.25</v>
      </c>
      <c r="E17" s="144">
        <v>9180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27336</v>
      </c>
      <c r="C26" s="144" t="s">
        <v>395</v>
      </c>
      <c r="D26" s="144">
        <v>56</v>
      </c>
      <c r="E26" s="144">
        <v>6283014.1999999993</v>
      </c>
    </row>
    <row r="27" spans="1:5" x14ac:dyDescent="0.3">
      <c r="A27" s="144" t="s">
        <v>54</v>
      </c>
      <c r="B27" s="144">
        <v>15300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15300</v>
      </c>
      <c r="C29" s="144"/>
      <c r="D29" s="154" t="s">
        <v>404</v>
      </c>
      <c r="E29" s="144">
        <v>23303.9</v>
      </c>
    </row>
    <row r="30" spans="1:5" x14ac:dyDescent="0.3">
      <c r="A30" s="155" t="s">
        <v>398</v>
      </c>
      <c r="B30" s="144">
        <v>1028.5999999999999</v>
      </c>
      <c r="C30" s="144"/>
      <c r="D30" s="155" t="s">
        <v>405</v>
      </c>
      <c r="E30" s="144">
        <v>152.30000000000001</v>
      </c>
    </row>
    <row r="31" spans="1:5" x14ac:dyDescent="0.3">
      <c r="A31" s="155" t="s">
        <v>399</v>
      </c>
      <c r="B31" s="144">
        <v>1</v>
      </c>
      <c r="C31" s="144"/>
      <c r="D31" s="155" t="s">
        <v>406</v>
      </c>
      <c r="E31" s="144">
        <v>618.1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679.9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68</v>
      </c>
    </row>
    <row r="34" spans="1:5" x14ac:dyDescent="0.3">
      <c r="A34" s="155" t="s">
        <v>402</v>
      </c>
      <c r="B34" s="144">
        <v>1968210.8</v>
      </c>
      <c r="C34" s="144"/>
      <c r="D34" s="155" t="s">
        <v>409</v>
      </c>
      <c r="E34" s="144">
        <v>747.9</v>
      </c>
    </row>
    <row r="35" spans="1:5" x14ac:dyDescent="0.3">
      <c r="A35" s="156" t="s">
        <v>403</v>
      </c>
      <c r="B35" s="144">
        <v>9457110.8000000007</v>
      </c>
      <c r="C35" s="144"/>
      <c r="D35" s="156" t="s">
        <v>410</v>
      </c>
      <c r="E35" s="144">
        <v>-297.89999999999998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945711.1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159500</v>
      </c>
      <c r="C53" s="144">
        <v>22916.7</v>
      </c>
      <c r="D53" s="144">
        <v>46722.400000000001</v>
      </c>
      <c r="E53" s="144">
        <v>19635.2</v>
      </c>
    </row>
    <row r="54" spans="1:5" x14ac:dyDescent="0.3">
      <c r="A54" s="144" t="s">
        <v>54</v>
      </c>
      <c r="B54" s="144">
        <v>68440</v>
      </c>
      <c r="C54" s="144">
        <v>9833.2999999999993</v>
      </c>
      <c r="D54" s="144">
        <v>21762.2</v>
      </c>
      <c r="E54" s="144">
        <v>19635.2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15322.6</v>
      </c>
      <c r="D58" s="144">
        <v>42741.4</v>
      </c>
      <c r="E58" s="144">
        <v>11242.4</v>
      </c>
    </row>
    <row r="59" spans="1:5" x14ac:dyDescent="0.3">
      <c r="A59" s="144" t="s">
        <v>54</v>
      </c>
      <c r="B59" s="144">
        <v>7200</v>
      </c>
      <c r="C59" s="144">
        <v>11938.1</v>
      </c>
      <c r="D59" s="144">
        <v>20441.5</v>
      </c>
      <c r="E59" s="144">
        <v>3443.2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1500</v>
      </c>
      <c r="B63" s="144">
        <v>45160.9</v>
      </c>
      <c r="C63" s="144">
        <v>43197.4</v>
      </c>
      <c r="D63" s="144">
        <v>10000</v>
      </c>
      <c r="E63" s="144">
        <v>47285.599999999999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155.1</v>
      </c>
      <c r="C67" s="144">
        <v>22.3</v>
      </c>
      <c r="D67" s="144">
        <v>45.4</v>
      </c>
      <c r="E67" s="144">
        <v>19.100000000000001</v>
      </c>
    </row>
    <row r="68" spans="1:5" x14ac:dyDescent="0.3">
      <c r="A68" s="144" t="s">
        <v>54</v>
      </c>
      <c r="B68" s="144">
        <v>66.5</v>
      </c>
      <c r="C68" s="144">
        <v>9.6</v>
      </c>
      <c r="D68" s="144">
        <v>21.2</v>
      </c>
      <c r="E68" s="144">
        <v>19.100000000000001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14.9</v>
      </c>
      <c r="D72" s="144">
        <v>41.6</v>
      </c>
      <c r="E72" s="144">
        <v>10.9</v>
      </c>
    </row>
    <row r="73" spans="1:5" x14ac:dyDescent="0.3">
      <c r="A73" s="144" t="s">
        <v>54</v>
      </c>
      <c r="B73" s="144">
        <v>7</v>
      </c>
      <c r="C73" s="144">
        <v>11.6</v>
      </c>
      <c r="D73" s="144">
        <v>19.899999999999999</v>
      </c>
      <c r="E73" s="144">
        <v>3.3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1.5</v>
      </c>
      <c r="B77" s="144">
        <v>5.7</v>
      </c>
      <c r="C77" s="144">
        <v>3.8</v>
      </c>
      <c r="D77" s="144">
        <v>9.6999999999999993</v>
      </c>
      <c r="E77" s="144">
        <v>46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9060-F29E-455E-82AA-8B5D3B7CD52F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44783.433923611112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335</v>
      </c>
      <c r="B5" s="144">
        <v>1.6</v>
      </c>
      <c r="C5" s="144">
        <v>910.5</v>
      </c>
      <c r="D5" s="144">
        <v>0.9</v>
      </c>
      <c r="E5" s="144">
        <v>80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77</v>
      </c>
      <c r="D14" s="144">
        <v>65.45</v>
      </c>
      <c r="E14" s="144">
        <v>15708</v>
      </c>
    </row>
    <row r="15" spans="1:5" x14ac:dyDescent="0.3">
      <c r="A15" s="144" t="s">
        <v>52</v>
      </c>
      <c r="B15" s="144" t="s">
        <v>287</v>
      </c>
      <c r="C15" s="144">
        <v>77</v>
      </c>
      <c r="D15" s="144">
        <v>65.45</v>
      </c>
      <c r="E15" s="144">
        <v>15708</v>
      </c>
    </row>
    <row r="16" spans="1:5" x14ac:dyDescent="0.3">
      <c r="A16" s="144" t="s">
        <v>54</v>
      </c>
      <c r="B16" s="144" t="s">
        <v>261</v>
      </c>
      <c r="C16" s="144">
        <v>35</v>
      </c>
      <c r="D16" s="144">
        <v>29.75</v>
      </c>
      <c r="E16" s="144">
        <v>7140</v>
      </c>
    </row>
    <row r="17" spans="1:5" x14ac:dyDescent="0.3">
      <c r="A17" s="144" t="s">
        <v>54</v>
      </c>
      <c r="B17" s="144" t="s">
        <v>263</v>
      </c>
      <c r="C17" s="144">
        <v>68</v>
      </c>
      <c r="D17" s="144">
        <v>57.8</v>
      </c>
      <c r="E17" s="144">
        <v>13872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31416</v>
      </c>
      <c r="C26" s="144" t="s">
        <v>395</v>
      </c>
      <c r="D26" s="144">
        <v>66.900000000000006</v>
      </c>
      <c r="E26" s="144">
        <v>6283014.1999999993</v>
      </c>
    </row>
    <row r="27" spans="1:5" x14ac:dyDescent="0.3">
      <c r="A27" s="144" t="s">
        <v>54</v>
      </c>
      <c r="B27" s="144">
        <v>21012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21012</v>
      </c>
      <c r="C29" s="144"/>
      <c r="D29" s="154" t="s">
        <v>404</v>
      </c>
      <c r="E29" s="144">
        <v>21016.799999999999</v>
      </c>
    </row>
    <row r="30" spans="1:5" x14ac:dyDescent="0.3">
      <c r="A30" s="155" t="s">
        <v>398</v>
      </c>
      <c r="B30" s="144">
        <v>910.5</v>
      </c>
      <c r="C30" s="144"/>
      <c r="D30" s="155" t="s">
        <v>405</v>
      </c>
      <c r="E30" s="144">
        <v>100</v>
      </c>
    </row>
    <row r="31" spans="1:5" x14ac:dyDescent="0.3">
      <c r="A31" s="155" t="s">
        <v>399</v>
      </c>
      <c r="B31" s="144">
        <v>1</v>
      </c>
      <c r="C31" s="144"/>
      <c r="D31" s="155" t="s">
        <v>406</v>
      </c>
      <c r="E31" s="144">
        <v>450.1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495.1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49.5</v>
      </c>
    </row>
    <row r="34" spans="1:5" x14ac:dyDescent="0.3">
      <c r="A34" s="155" t="s">
        <v>402</v>
      </c>
      <c r="B34" s="144">
        <v>1968221.7</v>
      </c>
      <c r="C34" s="144"/>
      <c r="D34" s="155" t="s">
        <v>409</v>
      </c>
      <c r="E34" s="144">
        <v>544.6</v>
      </c>
    </row>
    <row r="35" spans="1:5" x14ac:dyDescent="0.3">
      <c r="A35" s="156" t="s">
        <v>403</v>
      </c>
      <c r="B35" s="144">
        <v>9457121.6999999993</v>
      </c>
      <c r="C35" s="144"/>
      <c r="D35" s="156" t="s">
        <v>410</v>
      </c>
      <c r="E35" s="144">
        <v>-94.6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945712.2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159500</v>
      </c>
      <c r="C53" s="144">
        <v>22916.7</v>
      </c>
      <c r="D53" s="144">
        <v>46722.400000000001</v>
      </c>
      <c r="E53" s="144">
        <v>19635.2</v>
      </c>
    </row>
    <row r="54" spans="1:5" x14ac:dyDescent="0.3">
      <c r="A54" s="144" t="s">
        <v>54</v>
      </c>
      <c r="B54" s="144">
        <v>68440</v>
      </c>
      <c r="C54" s="144">
        <v>9833.2999999999993</v>
      </c>
      <c r="D54" s="144">
        <v>21762.2</v>
      </c>
      <c r="E54" s="144">
        <v>19635.2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15322.6</v>
      </c>
      <c r="D58" s="144">
        <v>42741.4</v>
      </c>
      <c r="E58" s="144">
        <v>11242.4</v>
      </c>
    </row>
    <row r="59" spans="1:5" x14ac:dyDescent="0.3">
      <c r="A59" s="144" t="s">
        <v>54</v>
      </c>
      <c r="B59" s="144">
        <v>7200</v>
      </c>
      <c r="C59" s="144">
        <v>11938.1</v>
      </c>
      <c r="D59" s="144">
        <v>20441.5</v>
      </c>
      <c r="E59" s="144">
        <v>3443.2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1500</v>
      </c>
      <c r="B63" s="144">
        <v>45160.9</v>
      </c>
      <c r="C63" s="144">
        <v>43197.4</v>
      </c>
      <c r="D63" s="144">
        <v>10000</v>
      </c>
      <c r="E63" s="144">
        <v>47285.599999999999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175.2</v>
      </c>
      <c r="C67" s="144">
        <v>25.2</v>
      </c>
      <c r="D67" s="144">
        <v>51.3</v>
      </c>
      <c r="E67" s="144">
        <v>21.6</v>
      </c>
    </row>
    <row r="68" spans="1:5" x14ac:dyDescent="0.3">
      <c r="A68" s="144" t="s">
        <v>54</v>
      </c>
      <c r="B68" s="144">
        <v>75.2</v>
      </c>
      <c r="C68" s="144">
        <v>10.8</v>
      </c>
      <c r="D68" s="144">
        <v>23.9</v>
      </c>
      <c r="E68" s="144">
        <v>21.6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16.8</v>
      </c>
      <c r="D72" s="144">
        <v>46.9</v>
      </c>
      <c r="E72" s="144">
        <v>12.3</v>
      </c>
    </row>
    <row r="73" spans="1:5" x14ac:dyDescent="0.3">
      <c r="A73" s="144" t="s">
        <v>54</v>
      </c>
      <c r="B73" s="144">
        <v>7.9</v>
      </c>
      <c r="C73" s="144">
        <v>13.1</v>
      </c>
      <c r="D73" s="144">
        <v>22.5</v>
      </c>
      <c r="E73" s="144">
        <v>3.8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1.5</v>
      </c>
      <c r="B77" s="144">
        <v>6.5</v>
      </c>
      <c r="C77" s="144">
        <v>4.3</v>
      </c>
      <c r="D77" s="144">
        <v>9.6999999999999993</v>
      </c>
      <c r="E77" s="144">
        <v>46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229CA-C9D9-4A87-BD4A-0E40DEB2E49B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44783.433946759258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198</v>
      </c>
      <c r="B5" s="144">
        <v>6.5</v>
      </c>
      <c r="C5" s="144">
        <v>2809.4</v>
      </c>
      <c r="D5" s="144">
        <v>0.7</v>
      </c>
      <c r="E5" s="144">
        <v>150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67</v>
      </c>
      <c r="D14" s="144">
        <v>56.95</v>
      </c>
      <c r="E14" s="144">
        <v>13668</v>
      </c>
    </row>
    <row r="15" spans="1:5" x14ac:dyDescent="0.3">
      <c r="A15" s="144" t="s">
        <v>52</v>
      </c>
      <c r="B15" s="144" t="s">
        <v>287</v>
      </c>
      <c r="C15" s="144">
        <v>67</v>
      </c>
      <c r="D15" s="144">
        <v>56.95</v>
      </c>
      <c r="E15" s="144">
        <v>13668</v>
      </c>
    </row>
    <row r="16" spans="1:5" x14ac:dyDescent="0.3">
      <c r="A16" s="144" t="s">
        <v>54</v>
      </c>
      <c r="B16" s="144" t="s">
        <v>261</v>
      </c>
      <c r="C16" s="144">
        <v>33</v>
      </c>
      <c r="D16" s="144">
        <v>28.05</v>
      </c>
      <c r="E16" s="144">
        <v>6732</v>
      </c>
    </row>
    <row r="17" spans="1:5" x14ac:dyDescent="0.3">
      <c r="A17" s="144" t="s">
        <v>54</v>
      </c>
      <c r="B17" s="144" t="s">
        <v>263</v>
      </c>
      <c r="C17" s="144">
        <v>59</v>
      </c>
      <c r="D17" s="144">
        <v>50.15</v>
      </c>
      <c r="E17" s="144">
        <v>12036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27336</v>
      </c>
      <c r="C26" s="144" t="s">
        <v>395</v>
      </c>
      <c r="D26" s="144">
        <v>68.7</v>
      </c>
      <c r="E26" s="144">
        <v>6283014.1999999993</v>
      </c>
    </row>
    <row r="27" spans="1:5" x14ac:dyDescent="0.3">
      <c r="A27" s="144" t="s">
        <v>54</v>
      </c>
      <c r="B27" s="144">
        <v>18768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18768</v>
      </c>
      <c r="C29" s="144"/>
      <c r="D29" s="154" t="s">
        <v>404</v>
      </c>
      <c r="E29" s="144">
        <v>21698.9</v>
      </c>
    </row>
    <row r="30" spans="1:5" x14ac:dyDescent="0.3">
      <c r="A30" s="155" t="s">
        <v>398</v>
      </c>
      <c r="B30" s="144">
        <v>2809.4</v>
      </c>
      <c r="C30" s="144"/>
      <c r="D30" s="155" t="s">
        <v>405</v>
      </c>
      <c r="E30" s="144">
        <v>115.6</v>
      </c>
    </row>
    <row r="31" spans="1:5" x14ac:dyDescent="0.3">
      <c r="A31" s="155" t="s">
        <v>399</v>
      </c>
      <c r="B31" s="144">
        <v>3</v>
      </c>
      <c r="C31" s="144"/>
      <c r="D31" s="155" t="s">
        <v>406</v>
      </c>
      <c r="E31" s="144">
        <v>503.9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554.29999999999995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55.4</v>
      </c>
    </row>
    <row r="34" spans="1:5" x14ac:dyDescent="0.3">
      <c r="A34" s="155" t="s">
        <v>402</v>
      </c>
      <c r="B34" s="144">
        <v>1968223.5</v>
      </c>
      <c r="C34" s="144"/>
      <c r="D34" s="155" t="s">
        <v>409</v>
      </c>
      <c r="E34" s="144">
        <v>609.70000000000005</v>
      </c>
    </row>
    <row r="35" spans="1:5" x14ac:dyDescent="0.3">
      <c r="A35" s="156" t="s">
        <v>403</v>
      </c>
      <c r="B35" s="144">
        <v>9457123.5</v>
      </c>
      <c r="C35" s="144"/>
      <c r="D35" s="156" t="s">
        <v>410</v>
      </c>
      <c r="E35" s="144">
        <v>-159.69999999999999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945712.4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478500</v>
      </c>
      <c r="C53" s="144">
        <v>68750</v>
      </c>
      <c r="D53" s="144">
        <v>140167.1</v>
      </c>
      <c r="E53" s="144">
        <v>58905.5</v>
      </c>
    </row>
    <row r="54" spans="1:5" x14ac:dyDescent="0.3">
      <c r="A54" s="144" t="s">
        <v>54</v>
      </c>
      <c r="B54" s="144">
        <v>205320</v>
      </c>
      <c r="C54" s="144">
        <v>29500</v>
      </c>
      <c r="D54" s="144">
        <v>65286.7</v>
      </c>
      <c r="E54" s="144">
        <v>58905.5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45967.8</v>
      </c>
      <c r="D58" s="144">
        <v>128224.1</v>
      </c>
      <c r="E58" s="144">
        <v>33727.199999999997</v>
      </c>
    </row>
    <row r="59" spans="1:5" x14ac:dyDescent="0.3">
      <c r="A59" s="144" t="s">
        <v>54</v>
      </c>
      <c r="B59" s="144">
        <v>21600</v>
      </c>
      <c r="C59" s="144">
        <v>35814.400000000001</v>
      </c>
      <c r="D59" s="144">
        <v>61324.6</v>
      </c>
      <c r="E59" s="144">
        <v>10329.6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4500</v>
      </c>
      <c r="B63" s="144">
        <v>135482.6</v>
      </c>
      <c r="C63" s="144">
        <v>129592.1</v>
      </c>
      <c r="D63" s="144">
        <v>30000</v>
      </c>
      <c r="E63" s="144">
        <v>141856.9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170.3</v>
      </c>
      <c r="C67" s="144">
        <v>24.5</v>
      </c>
      <c r="D67" s="144">
        <v>49.9</v>
      </c>
      <c r="E67" s="144">
        <v>21</v>
      </c>
    </row>
    <row r="68" spans="1:5" x14ac:dyDescent="0.3">
      <c r="A68" s="144" t="s">
        <v>54</v>
      </c>
      <c r="B68" s="144">
        <v>73.099999999999994</v>
      </c>
      <c r="C68" s="144">
        <v>10.5</v>
      </c>
      <c r="D68" s="144">
        <v>23.2</v>
      </c>
      <c r="E68" s="144">
        <v>21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16.399999999999999</v>
      </c>
      <c r="D72" s="144">
        <v>45.6</v>
      </c>
      <c r="E72" s="144">
        <v>12</v>
      </c>
    </row>
    <row r="73" spans="1:5" x14ac:dyDescent="0.3">
      <c r="A73" s="144" t="s">
        <v>54</v>
      </c>
      <c r="B73" s="144">
        <v>7.7</v>
      </c>
      <c r="C73" s="144">
        <v>12.7</v>
      </c>
      <c r="D73" s="144">
        <v>21.8</v>
      </c>
      <c r="E73" s="144">
        <v>3.7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4.4000000000000004</v>
      </c>
      <c r="B77" s="144">
        <v>6.3</v>
      </c>
      <c r="C77" s="144">
        <v>4.2</v>
      </c>
      <c r="D77" s="144">
        <v>29.2</v>
      </c>
      <c r="E77" s="144">
        <v>137.9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000D9-ECE6-45D4-BABC-6B3F36B8FCE6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44783.433958333335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337</v>
      </c>
      <c r="B5" s="144">
        <v>6</v>
      </c>
      <c r="C5" s="144">
        <v>2765.5</v>
      </c>
      <c r="D5" s="144">
        <v>0.9</v>
      </c>
      <c r="E5" s="144">
        <v>85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77</v>
      </c>
      <c r="D14" s="144">
        <v>65.45</v>
      </c>
      <c r="E14" s="144">
        <v>15708</v>
      </c>
    </row>
    <row r="15" spans="1:5" x14ac:dyDescent="0.3">
      <c r="A15" s="144" t="s">
        <v>52</v>
      </c>
      <c r="B15" s="144" t="s">
        <v>287</v>
      </c>
      <c r="C15" s="144">
        <v>77</v>
      </c>
      <c r="D15" s="144">
        <v>65.45</v>
      </c>
      <c r="E15" s="144">
        <v>15708</v>
      </c>
    </row>
    <row r="16" spans="1:5" x14ac:dyDescent="0.3">
      <c r="A16" s="144" t="s">
        <v>54</v>
      </c>
      <c r="B16" s="144" t="s">
        <v>261</v>
      </c>
      <c r="C16" s="144">
        <v>35</v>
      </c>
      <c r="D16" s="144">
        <v>29.75</v>
      </c>
      <c r="E16" s="144">
        <v>7140</v>
      </c>
    </row>
    <row r="17" spans="1:5" x14ac:dyDescent="0.3">
      <c r="A17" s="144" t="s">
        <v>54</v>
      </c>
      <c r="B17" s="144" t="s">
        <v>263</v>
      </c>
      <c r="C17" s="144">
        <v>68</v>
      </c>
      <c r="D17" s="144">
        <v>57.8</v>
      </c>
      <c r="E17" s="144">
        <v>13872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31416</v>
      </c>
      <c r="C26" s="144" t="s">
        <v>395</v>
      </c>
      <c r="D26" s="144">
        <v>66.900000000000006</v>
      </c>
      <c r="E26" s="144">
        <v>6283014.1999999993</v>
      </c>
    </row>
    <row r="27" spans="1:5" x14ac:dyDescent="0.3">
      <c r="A27" s="144" t="s">
        <v>54</v>
      </c>
      <c r="B27" s="144">
        <v>21012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21012</v>
      </c>
      <c r="C29" s="144"/>
      <c r="D29" s="154" t="s">
        <v>404</v>
      </c>
      <c r="E29" s="144">
        <v>21016.799999999999</v>
      </c>
    </row>
    <row r="30" spans="1:5" x14ac:dyDescent="0.3">
      <c r="A30" s="155" t="s">
        <v>398</v>
      </c>
      <c r="B30" s="144">
        <v>2765.5</v>
      </c>
      <c r="C30" s="144"/>
      <c r="D30" s="155" t="s">
        <v>405</v>
      </c>
      <c r="E30" s="144">
        <v>100</v>
      </c>
    </row>
    <row r="31" spans="1:5" x14ac:dyDescent="0.3">
      <c r="A31" s="155" t="s">
        <v>399</v>
      </c>
      <c r="B31" s="144">
        <v>3</v>
      </c>
      <c r="C31" s="144"/>
      <c r="D31" s="155" t="s">
        <v>406</v>
      </c>
      <c r="E31" s="144">
        <v>450.1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495.1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49.5</v>
      </c>
    </row>
    <row r="34" spans="1:5" x14ac:dyDescent="0.3">
      <c r="A34" s="155" t="s">
        <v>402</v>
      </c>
      <c r="B34" s="144">
        <v>1968221.7</v>
      </c>
      <c r="C34" s="144"/>
      <c r="D34" s="155" t="s">
        <v>409</v>
      </c>
      <c r="E34" s="144">
        <v>544.6</v>
      </c>
    </row>
    <row r="35" spans="1:5" x14ac:dyDescent="0.3">
      <c r="A35" s="156" t="s">
        <v>403</v>
      </c>
      <c r="B35" s="144">
        <v>9457121.6999999993</v>
      </c>
      <c r="C35" s="144"/>
      <c r="D35" s="156" t="s">
        <v>410</v>
      </c>
      <c r="E35" s="144">
        <v>-94.6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945712.2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478500</v>
      </c>
      <c r="C53" s="144">
        <v>68750</v>
      </c>
      <c r="D53" s="144">
        <v>140167.1</v>
      </c>
      <c r="E53" s="144">
        <v>58905.5</v>
      </c>
    </row>
    <row r="54" spans="1:5" x14ac:dyDescent="0.3">
      <c r="A54" s="144" t="s">
        <v>54</v>
      </c>
      <c r="B54" s="144">
        <v>205320</v>
      </c>
      <c r="C54" s="144">
        <v>29500</v>
      </c>
      <c r="D54" s="144">
        <v>65286.7</v>
      </c>
      <c r="E54" s="144">
        <v>58905.5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45967.8</v>
      </c>
      <c r="D58" s="144">
        <v>128224.1</v>
      </c>
      <c r="E58" s="144">
        <v>33727.199999999997</v>
      </c>
    </row>
    <row r="59" spans="1:5" x14ac:dyDescent="0.3">
      <c r="A59" s="144" t="s">
        <v>54</v>
      </c>
      <c r="B59" s="144">
        <v>21600</v>
      </c>
      <c r="C59" s="144">
        <v>35814.400000000001</v>
      </c>
      <c r="D59" s="144">
        <v>61324.6</v>
      </c>
      <c r="E59" s="144">
        <v>10329.6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4500</v>
      </c>
      <c r="B63" s="144">
        <v>135482.6</v>
      </c>
      <c r="C63" s="144">
        <v>129592.1</v>
      </c>
      <c r="D63" s="144">
        <v>30000</v>
      </c>
      <c r="E63" s="144">
        <v>141856.79999999999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173</v>
      </c>
      <c r="C67" s="144">
        <v>24.9</v>
      </c>
      <c r="D67" s="144">
        <v>50.7</v>
      </c>
      <c r="E67" s="144">
        <v>21.3</v>
      </c>
    </row>
    <row r="68" spans="1:5" x14ac:dyDescent="0.3">
      <c r="A68" s="144" t="s">
        <v>54</v>
      </c>
      <c r="B68" s="144">
        <v>74.2</v>
      </c>
      <c r="C68" s="144">
        <v>10.7</v>
      </c>
      <c r="D68" s="144">
        <v>23.6</v>
      </c>
      <c r="E68" s="144">
        <v>21.3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16.600000000000001</v>
      </c>
      <c r="D72" s="144">
        <v>46.4</v>
      </c>
      <c r="E72" s="144">
        <v>12.2</v>
      </c>
    </row>
    <row r="73" spans="1:5" x14ac:dyDescent="0.3">
      <c r="A73" s="144" t="s">
        <v>54</v>
      </c>
      <c r="B73" s="144">
        <v>7.8</v>
      </c>
      <c r="C73" s="144">
        <v>13</v>
      </c>
      <c r="D73" s="144">
        <v>22.2</v>
      </c>
      <c r="E73" s="144">
        <v>3.7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4.4000000000000004</v>
      </c>
      <c r="B77" s="144">
        <v>6.4</v>
      </c>
      <c r="C77" s="144">
        <v>4.3</v>
      </c>
      <c r="D77" s="144">
        <v>29.2</v>
      </c>
      <c r="E77" s="144">
        <v>137.9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DA6DD-7448-4408-9BDE-7312E1472CF7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44783.433981481481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338</v>
      </c>
      <c r="B5" s="144">
        <v>13</v>
      </c>
      <c r="C5" s="144">
        <v>4363.7</v>
      </c>
      <c r="D5" s="144">
        <v>0.9</v>
      </c>
      <c r="E5" s="144">
        <v>205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77</v>
      </c>
      <c r="D14" s="144">
        <v>65.45</v>
      </c>
      <c r="E14" s="144">
        <v>15708</v>
      </c>
    </row>
    <row r="15" spans="1:5" x14ac:dyDescent="0.3">
      <c r="A15" s="144" t="s">
        <v>52</v>
      </c>
      <c r="B15" s="144" t="s">
        <v>287</v>
      </c>
      <c r="C15" s="144">
        <v>77</v>
      </c>
      <c r="D15" s="144">
        <v>65.45</v>
      </c>
      <c r="E15" s="144">
        <v>15708</v>
      </c>
    </row>
    <row r="16" spans="1:5" x14ac:dyDescent="0.3">
      <c r="A16" s="144" t="s">
        <v>54</v>
      </c>
      <c r="B16" s="144" t="s">
        <v>261</v>
      </c>
      <c r="C16" s="144">
        <v>32</v>
      </c>
      <c r="D16" s="144">
        <v>27.2</v>
      </c>
      <c r="E16" s="144">
        <v>6528</v>
      </c>
    </row>
    <row r="17" spans="1:5" x14ac:dyDescent="0.3">
      <c r="A17" s="144" t="s">
        <v>54</v>
      </c>
      <c r="B17" s="144" t="s">
        <v>263</v>
      </c>
      <c r="C17" s="144">
        <v>53</v>
      </c>
      <c r="D17" s="144">
        <v>45.05</v>
      </c>
      <c r="E17" s="144">
        <v>10812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31416</v>
      </c>
      <c r="C26" s="144" t="s">
        <v>395</v>
      </c>
      <c r="D26" s="144">
        <v>55.2</v>
      </c>
      <c r="E26" s="144">
        <v>6283014.1999999993</v>
      </c>
    </row>
    <row r="27" spans="1:5" x14ac:dyDescent="0.3">
      <c r="A27" s="144" t="s">
        <v>54</v>
      </c>
      <c r="B27" s="144">
        <v>17340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17340</v>
      </c>
      <c r="C29" s="144"/>
      <c r="D29" s="154" t="s">
        <v>404</v>
      </c>
      <c r="E29" s="144">
        <v>22255.7</v>
      </c>
    </row>
    <row r="30" spans="1:5" x14ac:dyDescent="0.3">
      <c r="A30" s="155" t="s">
        <v>398</v>
      </c>
      <c r="B30" s="144">
        <v>4363.7</v>
      </c>
      <c r="C30" s="144"/>
      <c r="D30" s="155" t="s">
        <v>405</v>
      </c>
      <c r="E30" s="144">
        <v>128.30000000000001</v>
      </c>
    </row>
    <row r="31" spans="1:5" x14ac:dyDescent="0.3">
      <c r="A31" s="155" t="s">
        <v>399</v>
      </c>
      <c r="B31" s="144">
        <v>5</v>
      </c>
      <c r="C31" s="144"/>
      <c r="D31" s="155" t="s">
        <v>406</v>
      </c>
      <c r="E31" s="144">
        <v>545.4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599.9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60</v>
      </c>
    </row>
    <row r="34" spans="1:5" x14ac:dyDescent="0.3">
      <c r="A34" s="155" t="s">
        <v>402</v>
      </c>
      <c r="B34" s="144">
        <v>1968210</v>
      </c>
      <c r="C34" s="144"/>
      <c r="D34" s="155" t="s">
        <v>409</v>
      </c>
      <c r="E34" s="144">
        <v>659.9</v>
      </c>
    </row>
    <row r="35" spans="1:5" x14ac:dyDescent="0.3">
      <c r="A35" s="156" t="s">
        <v>403</v>
      </c>
      <c r="B35" s="144">
        <v>9457110</v>
      </c>
      <c r="C35" s="144"/>
      <c r="D35" s="156" t="s">
        <v>410</v>
      </c>
      <c r="E35" s="144">
        <v>-209.9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945711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797500</v>
      </c>
      <c r="C53" s="144">
        <v>114583.3</v>
      </c>
      <c r="D53" s="144">
        <v>233611.8</v>
      </c>
      <c r="E53" s="144">
        <v>98175.8</v>
      </c>
    </row>
    <row r="54" spans="1:5" x14ac:dyDescent="0.3">
      <c r="A54" s="144" t="s">
        <v>54</v>
      </c>
      <c r="B54" s="144">
        <v>342200</v>
      </c>
      <c r="C54" s="144">
        <v>49166.7</v>
      </c>
      <c r="D54" s="144">
        <v>108811.2</v>
      </c>
      <c r="E54" s="144">
        <v>98175.8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76613.100000000006</v>
      </c>
      <c r="D58" s="144">
        <v>213706.8</v>
      </c>
      <c r="E58" s="144">
        <v>56212</v>
      </c>
    </row>
    <row r="59" spans="1:5" x14ac:dyDescent="0.3">
      <c r="A59" s="144" t="s">
        <v>54</v>
      </c>
      <c r="B59" s="144">
        <v>36000</v>
      </c>
      <c r="C59" s="144">
        <v>59690.7</v>
      </c>
      <c r="D59" s="144">
        <v>102207.6</v>
      </c>
      <c r="E59" s="144">
        <v>17216.099999999999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7500</v>
      </c>
      <c r="B63" s="144">
        <v>225804.4</v>
      </c>
      <c r="C63" s="144">
        <v>215986.8</v>
      </c>
      <c r="D63" s="144">
        <v>50000</v>
      </c>
      <c r="E63" s="144">
        <v>236427.8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182.8</v>
      </c>
      <c r="C67" s="144">
        <v>26.3</v>
      </c>
      <c r="D67" s="144">
        <v>53.5</v>
      </c>
      <c r="E67" s="144">
        <v>22.5</v>
      </c>
    </row>
    <row r="68" spans="1:5" x14ac:dyDescent="0.3">
      <c r="A68" s="144" t="s">
        <v>54</v>
      </c>
      <c r="B68" s="144">
        <v>78.400000000000006</v>
      </c>
      <c r="C68" s="144">
        <v>11.3</v>
      </c>
      <c r="D68" s="144">
        <v>24.9</v>
      </c>
      <c r="E68" s="144">
        <v>22.5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17.600000000000001</v>
      </c>
      <c r="D72" s="144">
        <v>49</v>
      </c>
      <c r="E72" s="144">
        <v>12.9</v>
      </c>
    </row>
    <row r="73" spans="1:5" x14ac:dyDescent="0.3">
      <c r="A73" s="144" t="s">
        <v>54</v>
      </c>
      <c r="B73" s="144">
        <v>8.1999999999999993</v>
      </c>
      <c r="C73" s="144">
        <v>13.7</v>
      </c>
      <c r="D73" s="144">
        <v>23.4</v>
      </c>
      <c r="E73" s="144">
        <v>3.9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7.3</v>
      </c>
      <c r="B77" s="144">
        <v>6.8</v>
      </c>
      <c r="C77" s="144">
        <v>4.5</v>
      </c>
      <c r="D77" s="144">
        <v>48.6</v>
      </c>
      <c r="E77" s="144">
        <v>229.9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4D0CC-917E-4C0D-BE0A-E20DF1F4429D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44783.433993055558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339</v>
      </c>
      <c r="B5" s="144">
        <v>4.5</v>
      </c>
      <c r="C5" s="144">
        <v>1510.5</v>
      </c>
      <c r="D5" s="144">
        <v>0.9</v>
      </c>
      <c r="E5" s="144">
        <v>205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77</v>
      </c>
      <c r="D14" s="144">
        <v>65.45</v>
      </c>
      <c r="E14" s="144">
        <v>15708</v>
      </c>
    </row>
    <row r="15" spans="1:5" x14ac:dyDescent="0.3">
      <c r="A15" s="144" t="s">
        <v>52</v>
      </c>
      <c r="B15" s="144" t="s">
        <v>287</v>
      </c>
      <c r="C15" s="144">
        <v>77</v>
      </c>
      <c r="D15" s="144">
        <v>65.45</v>
      </c>
      <c r="E15" s="144">
        <v>15708</v>
      </c>
    </row>
    <row r="16" spans="1:5" x14ac:dyDescent="0.3">
      <c r="A16" s="144" t="s">
        <v>54</v>
      </c>
      <c r="B16" s="144" t="s">
        <v>261</v>
      </c>
      <c r="C16" s="144">
        <v>32</v>
      </c>
      <c r="D16" s="144">
        <v>27.2</v>
      </c>
      <c r="E16" s="144">
        <v>6528</v>
      </c>
    </row>
    <row r="17" spans="1:5" x14ac:dyDescent="0.3">
      <c r="A17" s="144" t="s">
        <v>54</v>
      </c>
      <c r="B17" s="144" t="s">
        <v>263</v>
      </c>
      <c r="C17" s="144">
        <v>53</v>
      </c>
      <c r="D17" s="144">
        <v>45.05</v>
      </c>
      <c r="E17" s="144">
        <v>10812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31416</v>
      </c>
      <c r="C26" s="144" t="s">
        <v>395</v>
      </c>
      <c r="D26" s="144">
        <v>55.2</v>
      </c>
      <c r="E26" s="144">
        <v>6283014.1999999993</v>
      </c>
    </row>
    <row r="27" spans="1:5" x14ac:dyDescent="0.3">
      <c r="A27" s="144" t="s">
        <v>54</v>
      </c>
      <c r="B27" s="144">
        <v>17340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17340</v>
      </c>
      <c r="C29" s="144"/>
      <c r="D29" s="154" t="s">
        <v>404</v>
      </c>
      <c r="E29" s="144">
        <v>22255.7</v>
      </c>
    </row>
    <row r="30" spans="1:5" x14ac:dyDescent="0.3">
      <c r="A30" s="155" t="s">
        <v>398</v>
      </c>
      <c r="B30" s="144">
        <v>1510.5</v>
      </c>
      <c r="C30" s="144"/>
      <c r="D30" s="155" t="s">
        <v>405</v>
      </c>
      <c r="E30" s="144">
        <v>128.30000000000001</v>
      </c>
    </row>
    <row r="31" spans="1:5" x14ac:dyDescent="0.3">
      <c r="A31" s="155" t="s">
        <v>399</v>
      </c>
      <c r="B31" s="144">
        <v>2</v>
      </c>
      <c r="C31" s="144"/>
      <c r="D31" s="155" t="s">
        <v>406</v>
      </c>
      <c r="E31" s="144">
        <v>545.4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599.9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60</v>
      </c>
    </row>
    <row r="34" spans="1:5" x14ac:dyDescent="0.3">
      <c r="A34" s="155" t="s">
        <v>402</v>
      </c>
      <c r="B34" s="144">
        <v>1968210</v>
      </c>
      <c r="C34" s="144"/>
      <c r="D34" s="155" t="s">
        <v>409</v>
      </c>
      <c r="E34" s="144">
        <v>659.9</v>
      </c>
    </row>
    <row r="35" spans="1:5" x14ac:dyDescent="0.3">
      <c r="A35" s="156" t="s">
        <v>403</v>
      </c>
      <c r="B35" s="144">
        <v>9457110</v>
      </c>
      <c r="C35" s="144"/>
      <c r="D35" s="156" t="s">
        <v>410</v>
      </c>
      <c r="E35" s="144">
        <v>-209.9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945711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319000</v>
      </c>
      <c r="C53" s="144">
        <v>45833.3</v>
      </c>
      <c r="D53" s="144">
        <v>93444.7</v>
      </c>
      <c r="E53" s="144">
        <v>39270.300000000003</v>
      </c>
    </row>
    <row r="54" spans="1:5" x14ac:dyDescent="0.3">
      <c r="A54" s="144" t="s">
        <v>54</v>
      </c>
      <c r="B54" s="144">
        <v>136880</v>
      </c>
      <c r="C54" s="144">
        <v>19666.7</v>
      </c>
      <c r="D54" s="144">
        <v>43524.5</v>
      </c>
      <c r="E54" s="144">
        <v>39270.300000000003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30645.200000000001</v>
      </c>
      <c r="D58" s="144">
        <v>85482.7</v>
      </c>
      <c r="E58" s="144">
        <v>22484.799999999999</v>
      </c>
    </row>
    <row r="59" spans="1:5" x14ac:dyDescent="0.3">
      <c r="A59" s="144" t="s">
        <v>54</v>
      </c>
      <c r="B59" s="144">
        <v>14400</v>
      </c>
      <c r="C59" s="144">
        <v>23876.3</v>
      </c>
      <c r="D59" s="144">
        <v>40883</v>
      </c>
      <c r="E59" s="144">
        <v>6886.4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3000</v>
      </c>
      <c r="B63" s="144">
        <v>90321.8</v>
      </c>
      <c r="C63" s="144">
        <v>86394.7</v>
      </c>
      <c r="D63" s="144">
        <v>20000</v>
      </c>
      <c r="E63" s="144">
        <v>94571.1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211.2</v>
      </c>
      <c r="C67" s="144">
        <v>30.3</v>
      </c>
      <c r="D67" s="144">
        <v>61.9</v>
      </c>
      <c r="E67" s="144">
        <v>26</v>
      </c>
    </row>
    <row r="68" spans="1:5" x14ac:dyDescent="0.3">
      <c r="A68" s="144" t="s">
        <v>54</v>
      </c>
      <c r="B68" s="144">
        <v>90.6</v>
      </c>
      <c r="C68" s="144">
        <v>13</v>
      </c>
      <c r="D68" s="144">
        <v>28.8</v>
      </c>
      <c r="E68" s="144">
        <v>26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20.3</v>
      </c>
      <c r="D72" s="144">
        <v>56.6</v>
      </c>
      <c r="E72" s="144">
        <v>14.9</v>
      </c>
    </row>
    <row r="73" spans="1:5" x14ac:dyDescent="0.3">
      <c r="A73" s="144" t="s">
        <v>54</v>
      </c>
      <c r="B73" s="144">
        <v>9.5</v>
      </c>
      <c r="C73" s="144">
        <v>15.8</v>
      </c>
      <c r="D73" s="144">
        <v>27.1</v>
      </c>
      <c r="E73" s="144">
        <v>4.5999999999999996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2.9</v>
      </c>
      <c r="B77" s="144">
        <v>7.8</v>
      </c>
      <c r="C77" s="144">
        <v>5.2</v>
      </c>
      <c r="D77" s="144">
        <v>19.399999999999999</v>
      </c>
      <c r="E77" s="144">
        <v>91.9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D7D94-328E-42F0-81A9-3D59A21F49FB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44783.434016203704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340</v>
      </c>
      <c r="B5" s="144">
        <v>4.4000000000000004</v>
      </c>
      <c r="C5" s="144">
        <v>2207.6999999999998</v>
      </c>
      <c r="D5" s="144">
        <v>0.8</v>
      </c>
      <c r="E5" s="144">
        <v>100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73</v>
      </c>
      <c r="D14" s="144">
        <v>62.05</v>
      </c>
      <c r="E14" s="144">
        <v>14892</v>
      </c>
    </row>
    <row r="15" spans="1:5" x14ac:dyDescent="0.3">
      <c r="A15" s="144" t="s">
        <v>52</v>
      </c>
      <c r="B15" s="144" t="s">
        <v>287</v>
      </c>
      <c r="C15" s="144">
        <v>73</v>
      </c>
      <c r="D15" s="144">
        <v>62.05</v>
      </c>
      <c r="E15" s="144">
        <v>14892</v>
      </c>
    </row>
    <row r="16" spans="1:5" x14ac:dyDescent="0.3">
      <c r="A16" s="144" t="s">
        <v>54</v>
      </c>
      <c r="B16" s="144" t="s">
        <v>261</v>
      </c>
      <c r="C16" s="144">
        <v>35</v>
      </c>
      <c r="D16" s="144">
        <v>29.75</v>
      </c>
      <c r="E16" s="144">
        <v>7140</v>
      </c>
    </row>
    <row r="17" spans="1:5" x14ac:dyDescent="0.3">
      <c r="A17" s="144" t="s">
        <v>54</v>
      </c>
      <c r="B17" s="144" t="s">
        <v>263</v>
      </c>
      <c r="C17" s="144">
        <v>65</v>
      </c>
      <c r="D17" s="144">
        <v>55.25</v>
      </c>
      <c r="E17" s="144">
        <v>13260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29784</v>
      </c>
      <c r="C26" s="144" t="s">
        <v>395</v>
      </c>
      <c r="D26" s="144">
        <v>68.5</v>
      </c>
      <c r="E26" s="144">
        <v>6283014.1999999993</v>
      </c>
    </row>
    <row r="27" spans="1:5" x14ac:dyDescent="0.3">
      <c r="A27" s="144" t="s">
        <v>54</v>
      </c>
      <c r="B27" s="144">
        <v>20400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20400</v>
      </c>
      <c r="C29" s="144"/>
      <c r="D29" s="154" t="s">
        <v>404</v>
      </c>
      <c r="E29" s="144">
        <v>21183.9</v>
      </c>
    </row>
    <row r="30" spans="1:5" x14ac:dyDescent="0.3">
      <c r="A30" s="155" t="s">
        <v>398</v>
      </c>
      <c r="B30" s="144">
        <v>2207.6999999999998</v>
      </c>
      <c r="C30" s="144"/>
      <c r="D30" s="155" t="s">
        <v>405</v>
      </c>
      <c r="E30" s="144">
        <v>103.8</v>
      </c>
    </row>
    <row r="31" spans="1:5" x14ac:dyDescent="0.3">
      <c r="A31" s="155" t="s">
        <v>399</v>
      </c>
      <c r="B31" s="144">
        <v>2</v>
      </c>
      <c r="C31" s="144"/>
      <c r="D31" s="155" t="s">
        <v>406</v>
      </c>
      <c r="E31" s="144">
        <v>463.6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509.9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51</v>
      </c>
    </row>
    <row r="34" spans="1:5" x14ac:dyDescent="0.3">
      <c r="A34" s="155" t="s">
        <v>402</v>
      </c>
      <c r="B34" s="144">
        <v>1968223.3</v>
      </c>
      <c r="C34" s="144"/>
      <c r="D34" s="155" t="s">
        <v>409</v>
      </c>
      <c r="E34" s="144">
        <v>560.9</v>
      </c>
    </row>
    <row r="35" spans="1:5" x14ac:dyDescent="0.3">
      <c r="A35" s="156" t="s">
        <v>403</v>
      </c>
      <c r="B35" s="144">
        <v>9457123.3000000007</v>
      </c>
      <c r="C35" s="144"/>
      <c r="D35" s="156" t="s">
        <v>410</v>
      </c>
      <c r="E35" s="144">
        <v>-110.9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945712.3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319000</v>
      </c>
      <c r="C53" s="144">
        <v>45833.3</v>
      </c>
      <c r="D53" s="144">
        <v>93444.7</v>
      </c>
      <c r="E53" s="144">
        <v>39270.300000000003</v>
      </c>
    </row>
    <row r="54" spans="1:5" x14ac:dyDescent="0.3">
      <c r="A54" s="144" t="s">
        <v>54</v>
      </c>
      <c r="B54" s="144">
        <v>136880</v>
      </c>
      <c r="C54" s="144">
        <v>19666.7</v>
      </c>
      <c r="D54" s="144">
        <v>43524.5</v>
      </c>
      <c r="E54" s="144">
        <v>39270.300000000003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30645.200000000001</v>
      </c>
      <c r="D58" s="144">
        <v>85482.7</v>
      </c>
      <c r="E58" s="144">
        <v>22484.799999999999</v>
      </c>
    </row>
    <row r="59" spans="1:5" x14ac:dyDescent="0.3">
      <c r="A59" s="144" t="s">
        <v>54</v>
      </c>
      <c r="B59" s="144">
        <v>14400</v>
      </c>
      <c r="C59" s="144">
        <v>23876.3</v>
      </c>
      <c r="D59" s="144">
        <v>40883</v>
      </c>
      <c r="E59" s="144">
        <v>6886.4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3000</v>
      </c>
      <c r="B63" s="144">
        <v>90321.8</v>
      </c>
      <c r="C63" s="144">
        <v>86394.7</v>
      </c>
      <c r="D63" s="144">
        <v>20000</v>
      </c>
      <c r="E63" s="144">
        <v>94571.199999999997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144.5</v>
      </c>
      <c r="C67" s="144">
        <v>20.8</v>
      </c>
      <c r="D67" s="144">
        <v>42.3</v>
      </c>
      <c r="E67" s="144">
        <v>17.8</v>
      </c>
    </row>
    <row r="68" spans="1:5" x14ac:dyDescent="0.3">
      <c r="A68" s="144" t="s">
        <v>54</v>
      </c>
      <c r="B68" s="144">
        <v>62</v>
      </c>
      <c r="C68" s="144">
        <v>8.9</v>
      </c>
      <c r="D68" s="144">
        <v>19.7</v>
      </c>
      <c r="E68" s="144">
        <v>17.8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13.9</v>
      </c>
      <c r="D72" s="144">
        <v>38.700000000000003</v>
      </c>
      <c r="E72" s="144">
        <v>10.199999999999999</v>
      </c>
    </row>
    <row r="73" spans="1:5" x14ac:dyDescent="0.3">
      <c r="A73" s="144" t="s">
        <v>54</v>
      </c>
      <c r="B73" s="144">
        <v>6.5</v>
      </c>
      <c r="C73" s="144">
        <v>10.8</v>
      </c>
      <c r="D73" s="144">
        <v>18.5</v>
      </c>
      <c r="E73" s="144">
        <v>3.1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2.9</v>
      </c>
      <c r="B77" s="144">
        <v>5.3</v>
      </c>
      <c r="C77" s="144">
        <v>3.6</v>
      </c>
      <c r="D77" s="144">
        <v>19.399999999999999</v>
      </c>
      <c r="E77" s="144">
        <v>91.9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939CB-85D4-445D-9F43-71BD9040643E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44783.434039351851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341</v>
      </c>
      <c r="B5" s="144">
        <v>3.9</v>
      </c>
      <c r="C5" s="144">
        <v>1338.7</v>
      </c>
      <c r="D5" s="144">
        <v>1</v>
      </c>
      <c r="E5" s="144">
        <v>140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81</v>
      </c>
      <c r="D14" s="144">
        <v>68.849999999999994</v>
      </c>
      <c r="E14" s="144">
        <v>16524</v>
      </c>
    </row>
    <row r="15" spans="1:5" x14ac:dyDescent="0.3">
      <c r="A15" s="144" t="s">
        <v>52</v>
      </c>
      <c r="B15" s="144" t="s">
        <v>287</v>
      </c>
      <c r="C15" s="144">
        <v>81</v>
      </c>
      <c r="D15" s="144">
        <v>68.849999999999994</v>
      </c>
      <c r="E15" s="144">
        <v>16524</v>
      </c>
    </row>
    <row r="16" spans="1:5" x14ac:dyDescent="0.3">
      <c r="A16" s="144" t="s">
        <v>54</v>
      </c>
      <c r="B16" s="144" t="s">
        <v>261</v>
      </c>
      <c r="C16" s="144">
        <v>34</v>
      </c>
      <c r="D16" s="144">
        <v>28.9</v>
      </c>
      <c r="E16" s="144">
        <v>6936</v>
      </c>
    </row>
    <row r="17" spans="1:5" x14ac:dyDescent="0.3">
      <c r="A17" s="144" t="s">
        <v>54</v>
      </c>
      <c r="B17" s="144" t="s">
        <v>263</v>
      </c>
      <c r="C17" s="144">
        <v>60</v>
      </c>
      <c r="D17" s="144">
        <v>51</v>
      </c>
      <c r="E17" s="144">
        <v>12240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33048</v>
      </c>
      <c r="C26" s="144" t="s">
        <v>395</v>
      </c>
      <c r="D26" s="144">
        <v>58</v>
      </c>
      <c r="E26" s="144">
        <v>6283014.1999999993</v>
      </c>
    </row>
    <row r="27" spans="1:5" x14ac:dyDescent="0.3">
      <c r="A27" s="144" t="s">
        <v>54</v>
      </c>
      <c r="B27" s="144">
        <v>19176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19176</v>
      </c>
      <c r="C29" s="144"/>
      <c r="D29" s="154" t="s">
        <v>404</v>
      </c>
      <c r="E29" s="144">
        <v>21559.4</v>
      </c>
    </row>
    <row r="30" spans="1:5" x14ac:dyDescent="0.3">
      <c r="A30" s="155" t="s">
        <v>398</v>
      </c>
      <c r="B30" s="144">
        <v>1338.7</v>
      </c>
      <c r="C30" s="144"/>
      <c r="D30" s="155" t="s">
        <v>405</v>
      </c>
      <c r="E30" s="144">
        <v>112.4</v>
      </c>
    </row>
    <row r="31" spans="1:5" x14ac:dyDescent="0.3">
      <c r="A31" s="155" t="s">
        <v>399</v>
      </c>
      <c r="B31" s="144">
        <v>1</v>
      </c>
      <c r="C31" s="144"/>
      <c r="D31" s="155" t="s">
        <v>406</v>
      </c>
      <c r="E31" s="144">
        <v>493.2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542.5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54.2</v>
      </c>
    </row>
    <row r="34" spans="1:5" x14ac:dyDescent="0.3">
      <c r="A34" s="155" t="s">
        <v>402</v>
      </c>
      <c r="B34" s="144">
        <v>1968212.8</v>
      </c>
      <c r="C34" s="144"/>
      <c r="D34" s="155" t="s">
        <v>409</v>
      </c>
      <c r="E34" s="144">
        <v>596.70000000000005</v>
      </c>
    </row>
    <row r="35" spans="1:5" x14ac:dyDescent="0.3">
      <c r="A35" s="156" t="s">
        <v>403</v>
      </c>
      <c r="B35" s="144">
        <v>9457112.8000000007</v>
      </c>
      <c r="C35" s="144"/>
      <c r="D35" s="156" t="s">
        <v>410</v>
      </c>
      <c r="E35" s="144">
        <v>-146.69999999999999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945711.3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159500</v>
      </c>
      <c r="C53" s="144">
        <v>22916.7</v>
      </c>
      <c r="D53" s="144">
        <v>46722.400000000001</v>
      </c>
      <c r="E53" s="144">
        <v>19635.2</v>
      </c>
    </row>
    <row r="54" spans="1:5" x14ac:dyDescent="0.3">
      <c r="A54" s="144" t="s">
        <v>54</v>
      </c>
      <c r="B54" s="144">
        <v>68440</v>
      </c>
      <c r="C54" s="144">
        <v>9833.2999999999993</v>
      </c>
      <c r="D54" s="144">
        <v>21762.2</v>
      </c>
      <c r="E54" s="144">
        <v>19635.2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15322.6</v>
      </c>
      <c r="D58" s="144">
        <v>42741.4</v>
      </c>
      <c r="E58" s="144">
        <v>11242.4</v>
      </c>
    </row>
    <row r="59" spans="1:5" x14ac:dyDescent="0.3">
      <c r="A59" s="144" t="s">
        <v>54</v>
      </c>
      <c r="B59" s="144">
        <v>7200</v>
      </c>
      <c r="C59" s="144">
        <v>11938.1</v>
      </c>
      <c r="D59" s="144">
        <v>20441.5</v>
      </c>
      <c r="E59" s="144">
        <v>3443.2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1500</v>
      </c>
      <c r="B63" s="144">
        <v>45160.9</v>
      </c>
      <c r="C63" s="144">
        <v>43197.4</v>
      </c>
      <c r="D63" s="144">
        <v>10000</v>
      </c>
      <c r="E63" s="144">
        <v>47285.599999999999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119.1</v>
      </c>
      <c r="C67" s="144">
        <v>17.100000000000001</v>
      </c>
      <c r="D67" s="144">
        <v>34.9</v>
      </c>
      <c r="E67" s="144">
        <v>14.7</v>
      </c>
    </row>
    <row r="68" spans="1:5" x14ac:dyDescent="0.3">
      <c r="A68" s="144" t="s">
        <v>54</v>
      </c>
      <c r="B68" s="144">
        <v>51.1</v>
      </c>
      <c r="C68" s="144">
        <v>7.3</v>
      </c>
      <c r="D68" s="144">
        <v>16.3</v>
      </c>
      <c r="E68" s="144">
        <v>14.7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11.4</v>
      </c>
      <c r="D72" s="144">
        <v>31.9</v>
      </c>
      <c r="E72" s="144">
        <v>8.4</v>
      </c>
    </row>
    <row r="73" spans="1:5" x14ac:dyDescent="0.3">
      <c r="A73" s="144" t="s">
        <v>54</v>
      </c>
      <c r="B73" s="144">
        <v>5.4</v>
      </c>
      <c r="C73" s="144">
        <v>8.9</v>
      </c>
      <c r="D73" s="144">
        <v>15.3</v>
      </c>
      <c r="E73" s="144">
        <v>2.6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1.5</v>
      </c>
      <c r="B77" s="144">
        <v>4.4000000000000004</v>
      </c>
      <c r="C77" s="144">
        <v>2.9</v>
      </c>
      <c r="D77" s="144">
        <v>9.6999999999999993</v>
      </c>
      <c r="E77" s="144">
        <v>46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F204-4FD7-49E9-950E-9324A9E8855D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44783.434050925927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342</v>
      </c>
      <c r="B5" s="144">
        <v>6.5</v>
      </c>
      <c r="C5" s="144">
        <v>2616.1999999999998</v>
      </c>
      <c r="D5" s="144">
        <v>0.9</v>
      </c>
      <c r="E5" s="144">
        <v>140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77</v>
      </c>
      <c r="D14" s="144">
        <v>65.45</v>
      </c>
      <c r="E14" s="144">
        <v>15708</v>
      </c>
    </row>
    <row r="15" spans="1:5" x14ac:dyDescent="0.3">
      <c r="A15" s="144" t="s">
        <v>52</v>
      </c>
      <c r="B15" s="144" t="s">
        <v>287</v>
      </c>
      <c r="C15" s="144">
        <v>77</v>
      </c>
      <c r="D15" s="144">
        <v>65.45</v>
      </c>
      <c r="E15" s="144">
        <v>15708</v>
      </c>
    </row>
    <row r="16" spans="1:5" x14ac:dyDescent="0.3">
      <c r="A16" s="144" t="s">
        <v>54</v>
      </c>
      <c r="B16" s="144" t="s">
        <v>261</v>
      </c>
      <c r="C16" s="144">
        <v>34</v>
      </c>
      <c r="D16" s="144">
        <v>28.9</v>
      </c>
      <c r="E16" s="144">
        <v>6936</v>
      </c>
    </row>
    <row r="17" spans="1:5" x14ac:dyDescent="0.3">
      <c r="A17" s="144" t="s">
        <v>54</v>
      </c>
      <c r="B17" s="144" t="s">
        <v>263</v>
      </c>
      <c r="C17" s="144">
        <v>60</v>
      </c>
      <c r="D17" s="144">
        <v>51</v>
      </c>
      <c r="E17" s="144">
        <v>12240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31416</v>
      </c>
      <c r="C26" s="144" t="s">
        <v>395</v>
      </c>
      <c r="D26" s="144">
        <v>61</v>
      </c>
      <c r="E26" s="144">
        <v>6283014.1999999993</v>
      </c>
    </row>
    <row r="27" spans="1:5" x14ac:dyDescent="0.3">
      <c r="A27" s="144" t="s">
        <v>54</v>
      </c>
      <c r="B27" s="144">
        <v>19176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19176</v>
      </c>
      <c r="C29" s="144"/>
      <c r="D29" s="154" t="s">
        <v>404</v>
      </c>
      <c r="E29" s="144">
        <v>21559.4</v>
      </c>
    </row>
    <row r="30" spans="1:5" x14ac:dyDescent="0.3">
      <c r="A30" s="155" t="s">
        <v>398</v>
      </c>
      <c r="B30" s="144">
        <v>2616.1999999999998</v>
      </c>
      <c r="C30" s="144"/>
      <c r="D30" s="155" t="s">
        <v>405</v>
      </c>
      <c r="E30" s="144">
        <v>112.4</v>
      </c>
    </row>
    <row r="31" spans="1:5" x14ac:dyDescent="0.3">
      <c r="A31" s="155" t="s">
        <v>399</v>
      </c>
      <c r="B31" s="144">
        <v>3</v>
      </c>
      <c r="C31" s="144"/>
      <c r="D31" s="155" t="s">
        <v>406</v>
      </c>
      <c r="E31" s="144">
        <v>493.2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542.5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54.2</v>
      </c>
    </row>
    <row r="34" spans="1:5" x14ac:dyDescent="0.3">
      <c r="A34" s="155" t="s">
        <v>402</v>
      </c>
      <c r="B34" s="144">
        <v>1968215.8</v>
      </c>
      <c r="C34" s="144"/>
      <c r="D34" s="155" t="s">
        <v>409</v>
      </c>
      <c r="E34" s="144">
        <v>596.70000000000005</v>
      </c>
    </row>
    <row r="35" spans="1:5" x14ac:dyDescent="0.3">
      <c r="A35" s="156" t="s">
        <v>403</v>
      </c>
      <c r="B35" s="144">
        <v>9457115.8000000007</v>
      </c>
      <c r="C35" s="144"/>
      <c r="D35" s="156" t="s">
        <v>410</v>
      </c>
      <c r="E35" s="144">
        <v>-146.69999999999999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945711.6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478500</v>
      </c>
      <c r="C53" s="144">
        <v>68750</v>
      </c>
      <c r="D53" s="144">
        <v>140167.1</v>
      </c>
      <c r="E53" s="144">
        <v>58905.5</v>
      </c>
    </row>
    <row r="54" spans="1:5" x14ac:dyDescent="0.3">
      <c r="A54" s="144" t="s">
        <v>54</v>
      </c>
      <c r="B54" s="144">
        <v>205320</v>
      </c>
      <c r="C54" s="144">
        <v>29500</v>
      </c>
      <c r="D54" s="144">
        <v>65286.7</v>
      </c>
      <c r="E54" s="144">
        <v>58905.5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45967.8</v>
      </c>
      <c r="D58" s="144">
        <v>128224.1</v>
      </c>
      <c r="E58" s="144">
        <v>33727.199999999997</v>
      </c>
    </row>
    <row r="59" spans="1:5" x14ac:dyDescent="0.3">
      <c r="A59" s="144" t="s">
        <v>54</v>
      </c>
      <c r="B59" s="144">
        <v>21600</v>
      </c>
      <c r="C59" s="144">
        <v>35814.400000000001</v>
      </c>
      <c r="D59" s="144">
        <v>61324.6</v>
      </c>
      <c r="E59" s="144">
        <v>10329.6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4500</v>
      </c>
      <c r="B63" s="144">
        <v>135482.6</v>
      </c>
      <c r="C63" s="144">
        <v>129592.1</v>
      </c>
      <c r="D63" s="144">
        <v>30000</v>
      </c>
      <c r="E63" s="144">
        <v>141856.70000000001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182.9</v>
      </c>
      <c r="C67" s="144">
        <v>26.3</v>
      </c>
      <c r="D67" s="144">
        <v>53.6</v>
      </c>
      <c r="E67" s="144">
        <v>22.5</v>
      </c>
    </row>
    <row r="68" spans="1:5" x14ac:dyDescent="0.3">
      <c r="A68" s="144" t="s">
        <v>54</v>
      </c>
      <c r="B68" s="144">
        <v>78.5</v>
      </c>
      <c r="C68" s="144">
        <v>11.3</v>
      </c>
      <c r="D68" s="144">
        <v>25</v>
      </c>
      <c r="E68" s="144">
        <v>22.5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17.600000000000001</v>
      </c>
      <c r="D72" s="144">
        <v>49</v>
      </c>
      <c r="E72" s="144">
        <v>12.9</v>
      </c>
    </row>
    <row r="73" spans="1:5" x14ac:dyDescent="0.3">
      <c r="A73" s="144" t="s">
        <v>54</v>
      </c>
      <c r="B73" s="144">
        <v>8.3000000000000007</v>
      </c>
      <c r="C73" s="144">
        <v>13.7</v>
      </c>
      <c r="D73" s="144">
        <v>23.4</v>
      </c>
      <c r="E73" s="144">
        <v>3.9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4.4000000000000004</v>
      </c>
      <c r="B77" s="144">
        <v>6.8</v>
      </c>
      <c r="C77" s="144">
        <v>4.5</v>
      </c>
      <c r="D77" s="144">
        <v>29.2</v>
      </c>
      <c r="E77" s="144">
        <v>137.9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1198C-CB4E-4A27-A413-D9C6F4627237}">
  <dimension ref="A1:E201"/>
  <sheetViews>
    <sheetView workbookViewId="0">
      <selection activeCell="A76" sqref="A76:E76"/>
    </sheetView>
  </sheetViews>
  <sheetFormatPr baseColWidth="10" defaultRowHeight="14.4" x14ac:dyDescent="0.3"/>
  <cols>
    <col min="1" max="1" width="41.88671875" bestFit="1" customWidth="1"/>
    <col min="2" max="2" width="34" bestFit="1" customWidth="1"/>
    <col min="3" max="3" width="30" bestFit="1" customWidth="1"/>
    <col min="4" max="4" width="43.33203125" bestFit="1" customWidth="1"/>
    <col min="5" max="5" width="26.21875" bestFit="1" customWidth="1"/>
  </cols>
  <sheetData>
    <row r="1" spans="1:5" ht="15.6" x14ac:dyDescent="0.3">
      <c r="A1" s="148" t="s">
        <v>370</v>
      </c>
      <c r="B1" s="146" t="s">
        <v>371</v>
      </c>
      <c r="C1" s="145" t="s">
        <v>372</v>
      </c>
      <c r="D1" s="146" t="s">
        <v>373</v>
      </c>
      <c r="E1" s="147">
        <v>44783.434074074074</v>
      </c>
    </row>
    <row r="2" spans="1:5" x14ac:dyDescent="0.3">
      <c r="A2" s="150" t="s">
        <v>374</v>
      </c>
      <c r="B2" s="144" t="s">
        <v>262</v>
      </c>
      <c r="C2" s="150" t="s">
        <v>17</v>
      </c>
      <c r="D2" s="144" t="s">
        <v>133</v>
      </c>
      <c r="E2" s="144" t="s">
        <v>375</v>
      </c>
    </row>
    <row r="3" spans="1:5" x14ac:dyDescent="0.3">
      <c r="A3" s="144"/>
      <c r="B3" s="144"/>
      <c r="C3" s="144"/>
      <c r="D3" s="144"/>
      <c r="E3" s="144"/>
    </row>
    <row r="4" spans="1:5" x14ac:dyDescent="0.3">
      <c r="A4" s="149" t="s">
        <v>376</v>
      </c>
      <c r="B4" s="151" t="s">
        <v>377</v>
      </c>
      <c r="C4" s="151" t="s">
        <v>378</v>
      </c>
      <c r="D4" s="151" t="s">
        <v>379</v>
      </c>
      <c r="E4" s="152" t="s">
        <v>380</v>
      </c>
    </row>
    <row r="5" spans="1:5" x14ac:dyDescent="0.3">
      <c r="A5" s="144" t="s">
        <v>343</v>
      </c>
      <c r="B5" s="144">
        <v>4</v>
      </c>
      <c r="C5" s="144">
        <v>1447.5</v>
      </c>
      <c r="D5" s="144">
        <v>0.8</v>
      </c>
      <c r="E5" s="144">
        <v>150</v>
      </c>
    </row>
    <row r="6" spans="1:5" x14ac:dyDescent="0.3">
      <c r="A6" s="144"/>
      <c r="B6" s="144"/>
      <c r="C6" s="144"/>
      <c r="D6" s="144"/>
      <c r="E6" s="144"/>
    </row>
    <row r="7" spans="1:5" x14ac:dyDescent="0.3">
      <c r="A7" s="149" t="s">
        <v>381</v>
      </c>
      <c r="B7" s="151" t="s">
        <v>382</v>
      </c>
      <c r="C7" s="151" t="s">
        <v>383</v>
      </c>
      <c r="D7" s="151" t="s">
        <v>384</v>
      </c>
      <c r="E7" s="152" t="s">
        <v>385</v>
      </c>
    </row>
    <row r="8" spans="1:5" x14ac:dyDescent="0.3">
      <c r="A8" s="144" t="s">
        <v>52</v>
      </c>
      <c r="B8" s="144" t="s">
        <v>286</v>
      </c>
      <c r="C8" s="144">
        <v>1</v>
      </c>
      <c r="D8" s="144">
        <v>12</v>
      </c>
      <c r="E8" s="153">
        <v>0.85</v>
      </c>
    </row>
    <row r="9" spans="1:5" x14ac:dyDescent="0.3">
      <c r="A9" s="144" t="s">
        <v>52</v>
      </c>
      <c r="B9" s="144" t="s">
        <v>287</v>
      </c>
      <c r="C9" s="144">
        <v>1</v>
      </c>
      <c r="D9" s="144">
        <v>12</v>
      </c>
      <c r="E9" s="153">
        <v>0.85</v>
      </c>
    </row>
    <row r="10" spans="1:5" x14ac:dyDescent="0.3">
      <c r="A10" s="144" t="s">
        <v>54</v>
      </c>
      <c r="B10" s="144" t="s">
        <v>261</v>
      </c>
      <c r="C10" s="144">
        <v>1</v>
      </c>
      <c r="D10" s="144">
        <v>12</v>
      </c>
      <c r="E10" s="153">
        <v>0.85</v>
      </c>
    </row>
    <row r="11" spans="1:5" x14ac:dyDescent="0.3">
      <c r="A11" s="144" t="s">
        <v>54</v>
      </c>
      <c r="B11" s="144" t="s">
        <v>263</v>
      </c>
      <c r="C11" s="144">
        <v>1</v>
      </c>
      <c r="D11" s="144">
        <v>12</v>
      </c>
      <c r="E11" s="153">
        <v>0.85</v>
      </c>
    </row>
    <row r="12" spans="1:5" x14ac:dyDescent="0.3">
      <c r="A12" s="144"/>
      <c r="B12" s="144"/>
      <c r="C12" s="144"/>
      <c r="D12" s="144"/>
      <c r="E12" s="144"/>
    </row>
    <row r="13" spans="1:5" x14ac:dyDescent="0.3">
      <c r="A13" s="149" t="s">
        <v>381</v>
      </c>
      <c r="B13" s="151" t="s">
        <v>382</v>
      </c>
      <c r="C13" s="151" t="s">
        <v>386</v>
      </c>
      <c r="D13" s="151" t="s">
        <v>387</v>
      </c>
      <c r="E13" s="152" t="s">
        <v>388</v>
      </c>
    </row>
    <row r="14" spans="1:5" x14ac:dyDescent="0.3">
      <c r="A14" s="144" t="s">
        <v>52</v>
      </c>
      <c r="B14" s="144" t="s">
        <v>286</v>
      </c>
      <c r="C14" s="144">
        <v>73</v>
      </c>
      <c r="D14" s="144">
        <v>62.05</v>
      </c>
      <c r="E14" s="144">
        <v>14892</v>
      </c>
    </row>
    <row r="15" spans="1:5" x14ac:dyDescent="0.3">
      <c r="A15" s="144" t="s">
        <v>52</v>
      </c>
      <c r="B15" s="144" t="s">
        <v>287</v>
      </c>
      <c r="C15" s="144">
        <v>73</v>
      </c>
      <c r="D15" s="144">
        <v>62.05</v>
      </c>
      <c r="E15" s="144">
        <v>14892</v>
      </c>
    </row>
    <row r="16" spans="1:5" x14ac:dyDescent="0.3">
      <c r="A16" s="144" t="s">
        <v>54</v>
      </c>
      <c r="B16" s="144" t="s">
        <v>261</v>
      </c>
      <c r="C16" s="144">
        <v>33</v>
      </c>
      <c r="D16" s="144">
        <v>28.05</v>
      </c>
      <c r="E16" s="144">
        <v>6732</v>
      </c>
    </row>
    <row r="17" spans="1:5" x14ac:dyDescent="0.3">
      <c r="A17" s="144" t="s">
        <v>54</v>
      </c>
      <c r="B17" s="144" t="s">
        <v>263</v>
      </c>
      <c r="C17" s="144">
        <v>59</v>
      </c>
      <c r="D17" s="144">
        <v>50.15</v>
      </c>
      <c r="E17" s="144">
        <v>12036</v>
      </c>
    </row>
    <row r="18" spans="1:5" x14ac:dyDescent="0.3">
      <c r="A18" s="144"/>
      <c r="B18" s="144"/>
      <c r="C18" s="144"/>
      <c r="D18" s="144"/>
      <c r="E18" s="144"/>
    </row>
    <row r="19" spans="1:5" x14ac:dyDescent="0.3">
      <c r="A19" s="149" t="s">
        <v>381</v>
      </c>
      <c r="B19" s="151" t="s">
        <v>382</v>
      </c>
      <c r="C19" s="151" t="s">
        <v>389</v>
      </c>
      <c r="D19" s="151" t="s">
        <v>390</v>
      </c>
      <c r="E19" s="152" t="s">
        <v>391</v>
      </c>
    </row>
    <row r="20" spans="1:5" x14ac:dyDescent="0.3">
      <c r="A20" s="144" t="s">
        <v>52</v>
      </c>
      <c r="B20" s="144" t="s">
        <v>286</v>
      </c>
      <c r="C20" s="144">
        <v>2517742.2999999998</v>
      </c>
      <c r="D20" s="144">
        <v>623764.80000000005</v>
      </c>
      <c r="E20" s="144">
        <v>3141507.0999999996</v>
      </c>
    </row>
    <row r="21" spans="1:5" x14ac:dyDescent="0.3">
      <c r="A21" s="144" t="s">
        <v>52</v>
      </c>
      <c r="B21" s="144" t="s">
        <v>287</v>
      </c>
      <c r="C21" s="144">
        <v>2517742.2999999998</v>
      </c>
      <c r="D21" s="144">
        <v>623764.80000000005</v>
      </c>
      <c r="E21" s="144">
        <v>3141507.0999999996</v>
      </c>
    </row>
    <row r="22" spans="1:5" x14ac:dyDescent="0.3">
      <c r="A22" s="144" t="s">
        <v>54</v>
      </c>
      <c r="B22" s="144" t="s">
        <v>261</v>
      </c>
      <c r="C22" s="144">
        <v>1226707.7</v>
      </c>
      <c r="D22" s="144">
        <v>290401.19999999995</v>
      </c>
      <c r="E22" s="144">
        <v>1517108.9</v>
      </c>
    </row>
    <row r="23" spans="1:5" x14ac:dyDescent="0.3">
      <c r="A23" s="144" t="s">
        <v>54</v>
      </c>
      <c r="B23" s="144" t="s">
        <v>263</v>
      </c>
      <c r="C23" s="144">
        <v>1226707.7</v>
      </c>
      <c r="D23" s="144">
        <v>430223.99999999994</v>
      </c>
      <c r="E23" s="144">
        <v>1656931.7</v>
      </c>
    </row>
    <row r="24" spans="1:5" x14ac:dyDescent="0.3">
      <c r="A24" s="144"/>
      <c r="B24" s="144"/>
      <c r="C24" s="144"/>
      <c r="D24" s="144"/>
      <c r="E24" s="144"/>
    </row>
    <row r="25" spans="1:5" x14ac:dyDescent="0.3">
      <c r="A25" s="149" t="s">
        <v>381</v>
      </c>
      <c r="B25" s="151" t="s">
        <v>392</v>
      </c>
      <c r="C25" s="151" t="s">
        <v>393</v>
      </c>
      <c r="D25" s="151" t="s">
        <v>394</v>
      </c>
      <c r="E25" s="152" t="s">
        <v>391</v>
      </c>
    </row>
    <row r="26" spans="1:5" x14ac:dyDescent="0.3">
      <c r="A26" s="144" t="s">
        <v>52</v>
      </c>
      <c r="B26" s="144">
        <v>29784</v>
      </c>
      <c r="C26" s="144" t="s">
        <v>395</v>
      </c>
      <c r="D26" s="144">
        <v>63</v>
      </c>
      <c r="E26" s="144">
        <v>6283014.1999999993</v>
      </c>
    </row>
    <row r="27" spans="1:5" x14ac:dyDescent="0.3">
      <c r="A27" s="144" t="s">
        <v>54</v>
      </c>
      <c r="B27" s="144">
        <v>18768</v>
      </c>
      <c r="C27" s="144" t="s">
        <v>396</v>
      </c>
      <c r="D27" s="144">
        <v>100</v>
      </c>
      <c r="E27" s="144">
        <v>3174040.5999999996</v>
      </c>
    </row>
    <row r="28" spans="1:5" x14ac:dyDescent="0.3">
      <c r="A28" s="144"/>
      <c r="B28" s="144"/>
      <c r="C28" s="144"/>
      <c r="D28" s="144"/>
      <c r="E28" s="144"/>
    </row>
    <row r="29" spans="1:5" x14ac:dyDescent="0.3">
      <c r="A29" s="154" t="s">
        <v>397</v>
      </c>
      <c r="B29" s="144">
        <v>18768</v>
      </c>
      <c r="C29" s="144"/>
      <c r="D29" s="154" t="s">
        <v>404</v>
      </c>
      <c r="E29" s="144">
        <v>21698.799999999999</v>
      </c>
    </row>
    <row r="30" spans="1:5" x14ac:dyDescent="0.3">
      <c r="A30" s="155" t="s">
        <v>398</v>
      </c>
      <c r="B30" s="144">
        <v>1447.5</v>
      </c>
      <c r="C30" s="144"/>
      <c r="D30" s="155" t="s">
        <v>405</v>
      </c>
      <c r="E30" s="144">
        <v>115.6</v>
      </c>
    </row>
    <row r="31" spans="1:5" x14ac:dyDescent="0.3">
      <c r="A31" s="155" t="s">
        <v>399</v>
      </c>
      <c r="B31" s="144">
        <v>2</v>
      </c>
      <c r="C31" s="144"/>
      <c r="D31" s="155" t="s">
        <v>406</v>
      </c>
      <c r="E31" s="144">
        <v>503.9</v>
      </c>
    </row>
    <row r="32" spans="1:5" x14ac:dyDescent="0.3">
      <c r="A32" s="155" t="s">
        <v>400</v>
      </c>
      <c r="B32" s="144">
        <v>450</v>
      </c>
      <c r="C32" s="144"/>
      <c r="D32" s="155" t="s">
        <v>407</v>
      </c>
      <c r="E32" s="144">
        <v>554.29999999999995</v>
      </c>
    </row>
    <row r="33" spans="1:5" x14ac:dyDescent="0.3">
      <c r="A33" s="155" t="s">
        <v>401</v>
      </c>
      <c r="B33" s="144">
        <v>7488900</v>
      </c>
      <c r="C33" s="144"/>
      <c r="D33" s="155" t="s">
        <v>408</v>
      </c>
      <c r="E33" s="144">
        <v>55.4</v>
      </c>
    </row>
    <row r="34" spans="1:5" x14ac:dyDescent="0.3">
      <c r="A34" s="155" t="s">
        <v>402</v>
      </c>
      <c r="B34" s="144">
        <v>1968217.8</v>
      </c>
      <c r="C34" s="144"/>
      <c r="D34" s="155" t="s">
        <v>409</v>
      </c>
      <c r="E34" s="144">
        <v>609.70000000000005</v>
      </c>
    </row>
    <row r="35" spans="1:5" x14ac:dyDescent="0.3">
      <c r="A35" s="156" t="s">
        <v>403</v>
      </c>
      <c r="B35" s="144">
        <v>9457117.8000000007</v>
      </c>
      <c r="C35" s="144"/>
      <c r="D35" s="156" t="s">
        <v>410</v>
      </c>
      <c r="E35" s="144">
        <v>-159.69999999999999</v>
      </c>
    </row>
    <row r="36" spans="1:5" x14ac:dyDescent="0.3">
      <c r="A36" s="144"/>
      <c r="B36" s="144"/>
      <c r="C36" s="144"/>
      <c r="D36" s="144"/>
      <c r="E36" s="144"/>
    </row>
    <row r="37" spans="1:5" x14ac:dyDescent="0.3">
      <c r="A37" s="158" t="s">
        <v>411</v>
      </c>
      <c r="B37" s="144"/>
      <c r="C37" s="144"/>
      <c r="D37" s="144"/>
      <c r="E37" s="144"/>
    </row>
    <row r="38" spans="1:5" x14ac:dyDescent="0.3">
      <c r="A38" s="149" t="s">
        <v>381</v>
      </c>
      <c r="B38" s="151" t="s">
        <v>412</v>
      </c>
      <c r="C38" s="151" t="s">
        <v>413</v>
      </c>
      <c r="D38" s="151" t="s">
        <v>414</v>
      </c>
      <c r="E38" s="152" t="s">
        <v>415</v>
      </c>
    </row>
    <row r="39" spans="1:5" x14ac:dyDescent="0.3">
      <c r="A39" s="144" t="s">
        <v>52</v>
      </c>
      <c r="B39" s="144">
        <v>3190000</v>
      </c>
      <c r="C39" s="144">
        <v>458333.3</v>
      </c>
      <c r="D39" s="144">
        <v>934447.2</v>
      </c>
      <c r="E39" s="144">
        <v>392703.3</v>
      </c>
    </row>
    <row r="40" spans="1:5" x14ac:dyDescent="0.3">
      <c r="A40" s="144" t="s">
        <v>54</v>
      </c>
      <c r="B40" s="144">
        <v>1368800</v>
      </c>
      <c r="C40" s="144">
        <v>196666.7</v>
      </c>
      <c r="D40" s="144">
        <v>435244.79999999999</v>
      </c>
      <c r="E40" s="144">
        <v>392703.3</v>
      </c>
    </row>
    <row r="41" spans="1:5" x14ac:dyDescent="0.3">
      <c r="A41" s="144"/>
      <c r="B41" s="144"/>
      <c r="C41" s="144"/>
      <c r="D41" s="144"/>
      <c r="E41" s="144"/>
    </row>
    <row r="42" spans="1:5" x14ac:dyDescent="0.3">
      <c r="A42" s="158" t="s">
        <v>416</v>
      </c>
      <c r="B42" s="144"/>
      <c r="C42" s="144"/>
      <c r="D42" s="144"/>
      <c r="E42" s="144"/>
    </row>
    <row r="43" spans="1:5" x14ac:dyDescent="0.3">
      <c r="A43" s="149" t="s">
        <v>381</v>
      </c>
      <c r="B43" s="151" t="s">
        <v>417</v>
      </c>
      <c r="C43" s="151" t="s">
        <v>418</v>
      </c>
      <c r="D43" s="151" t="s">
        <v>419</v>
      </c>
      <c r="E43" s="152" t="s">
        <v>420</v>
      </c>
    </row>
    <row r="44" spans="1:5" x14ac:dyDescent="0.3">
      <c r="A44" s="144" t="s">
        <v>52</v>
      </c>
      <c r="B44" s="144">
        <v>0</v>
      </c>
      <c r="C44" s="144">
        <v>306452.3</v>
      </c>
      <c r="D44" s="144">
        <v>854827.2</v>
      </c>
      <c r="E44" s="144">
        <v>224847.9</v>
      </c>
    </row>
    <row r="45" spans="1:5" x14ac:dyDescent="0.3">
      <c r="A45" s="144" t="s">
        <v>54</v>
      </c>
      <c r="B45" s="144">
        <v>144000</v>
      </c>
      <c r="C45" s="144">
        <v>238762.9</v>
      </c>
      <c r="D45" s="144">
        <v>408830.4</v>
      </c>
      <c r="E45" s="144">
        <v>68864.2</v>
      </c>
    </row>
    <row r="46" spans="1:5" x14ac:dyDescent="0.3">
      <c r="A46" s="144"/>
      <c r="B46" s="144"/>
      <c r="C46" s="144"/>
      <c r="D46" s="144"/>
      <c r="E46" s="144"/>
    </row>
    <row r="47" spans="1:5" x14ac:dyDescent="0.3">
      <c r="A47" s="158" t="s">
        <v>421</v>
      </c>
      <c r="B47" s="144"/>
      <c r="C47" s="144"/>
      <c r="D47" s="144"/>
      <c r="E47" s="144"/>
    </row>
    <row r="48" spans="1:5" x14ac:dyDescent="0.3">
      <c r="A48" s="149" t="s">
        <v>422</v>
      </c>
      <c r="B48" s="151" t="s">
        <v>423</v>
      </c>
      <c r="C48" s="151" t="s">
        <v>424</v>
      </c>
      <c r="D48" s="151" t="s">
        <v>425</v>
      </c>
      <c r="E48" s="152" t="s">
        <v>426</v>
      </c>
    </row>
    <row r="49" spans="1:5" x14ac:dyDescent="0.3">
      <c r="A49" s="144">
        <v>30000</v>
      </c>
      <c r="B49" s="144">
        <v>903217.6</v>
      </c>
      <c r="C49" s="144">
        <v>863947.3</v>
      </c>
      <c r="D49" s="144">
        <v>200000</v>
      </c>
      <c r="E49" s="144">
        <v>945711.8</v>
      </c>
    </row>
    <row r="50" spans="1:5" x14ac:dyDescent="0.3">
      <c r="A50" s="144"/>
      <c r="B50" s="144"/>
      <c r="C50" s="144"/>
      <c r="D50" s="144"/>
      <c r="E50" s="144"/>
    </row>
    <row r="51" spans="1:5" x14ac:dyDescent="0.3">
      <c r="A51" s="157" t="s">
        <v>427</v>
      </c>
      <c r="B51" s="144"/>
      <c r="C51" s="144"/>
      <c r="D51" s="144"/>
      <c r="E51" s="144"/>
    </row>
    <row r="52" spans="1:5" x14ac:dyDescent="0.3">
      <c r="A52" s="159" t="s">
        <v>381</v>
      </c>
      <c r="B52" s="159" t="s">
        <v>428</v>
      </c>
      <c r="C52" s="159" t="s">
        <v>429</v>
      </c>
      <c r="D52" s="159" t="s">
        <v>430</v>
      </c>
      <c r="E52" s="159" t="s">
        <v>431</v>
      </c>
    </row>
    <row r="53" spans="1:5" x14ac:dyDescent="0.3">
      <c r="A53" s="144" t="s">
        <v>52</v>
      </c>
      <c r="B53" s="144">
        <v>319000</v>
      </c>
      <c r="C53" s="144">
        <v>45833.3</v>
      </c>
      <c r="D53" s="144">
        <v>93444.7</v>
      </c>
      <c r="E53" s="144">
        <v>39270.300000000003</v>
      </c>
    </row>
    <row r="54" spans="1:5" x14ac:dyDescent="0.3">
      <c r="A54" s="144" t="s">
        <v>54</v>
      </c>
      <c r="B54" s="144">
        <v>136880</v>
      </c>
      <c r="C54" s="144">
        <v>19666.7</v>
      </c>
      <c r="D54" s="144">
        <v>43524.5</v>
      </c>
      <c r="E54" s="144">
        <v>39270.300000000003</v>
      </c>
    </row>
    <row r="55" spans="1:5" x14ac:dyDescent="0.3">
      <c r="A55" s="144"/>
      <c r="B55" s="144"/>
      <c r="C55" s="144"/>
      <c r="D55" s="144"/>
      <c r="E55" s="144"/>
    </row>
    <row r="56" spans="1:5" x14ac:dyDescent="0.3">
      <c r="A56" s="157" t="s">
        <v>432</v>
      </c>
      <c r="B56" s="144"/>
      <c r="C56" s="144"/>
      <c r="D56" s="144"/>
      <c r="E56" s="144"/>
    </row>
    <row r="57" spans="1:5" x14ac:dyDescent="0.3">
      <c r="A57" s="159" t="s">
        <v>381</v>
      </c>
      <c r="B57" s="159" t="s">
        <v>433</v>
      </c>
      <c r="C57" s="159" t="s">
        <v>434</v>
      </c>
      <c r="D57" s="159" t="s">
        <v>435</v>
      </c>
      <c r="E57" s="159" t="s">
        <v>436</v>
      </c>
    </row>
    <row r="58" spans="1:5" x14ac:dyDescent="0.3">
      <c r="A58" s="144" t="s">
        <v>52</v>
      </c>
      <c r="B58" s="144">
        <v>0</v>
      </c>
      <c r="C58" s="144">
        <v>30645.200000000001</v>
      </c>
      <c r="D58" s="144">
        <v>85482.7</v>
      </c>
      <c r="E58" s="144">
        <v>22484.799999999999</v>
      </c>
    </row>
    <row r="59" spans="1:5" x14ac:dyDescent="0.3">
      <c r="A59" s="144" t="s">
        <v>54</v>
      </c>
      <c r="B59" s="144">
        <v>14400</v>
      </c>
      <c r="C59" s="144">
        <v>23876.3</v>
      </c>
      <c r="D59" s="144">
        <v>40883</v>
      </c>
      <c r="E59" s="144">
        <v>6886.4</v>
      </c>
    </row>
    <row r="60" spans="1:5" x14ac:dyDescent="0.3">
      <c r="A60" s="144"/>
      <c r="B60" s="144"/>
      <c r="C60" s="144"/>
      <c r="D60" s="144"/>
      <c r="E60" s="144"/>
    </row>
    <row r="61" spans="1:5" x14ac:dyDescent="0.3">
      <c r="A61" s="157" t="s">
        <v>437</v>
      </c>
      <c r="B61" s="144"/>
      <c r="C61" s="144"/>
      <c r="D61" s="144"/>
      <c r="E61" s="144"/>
    </row>
    <row r="62" spans="1:5" x14ac:dyDescent="0.3">
      <c r="A62" s="159" t="s">
        <v>438</v>
      </c>
      <c r="B62" s="159" t="s">
        <v>439</v>
      </c>
      <c r="C62" s="159" t="s">
        <v>440</v>
      </c>
      <c r="D62" s="159" t="s">
        <v>441</v>
      </c>
      <c r="E62" s="159" t="s">
        <v>442</v>
      </c>
    </row>
    <row r="63" spans="1:5" x14ac:dyDescent="0.3">
      <c r="A63" s="144">
        <v>3000</v>
      </c>
      <c r="B63" s="144">
        <v>90321.8</v>
      </c>
      <c r="C63" s="144">
        <v>86394.7</v>
      </c>
      <c r="D63" s="144">
        <v>20000</v>
      </c>
      <c r="E63" s="144">
        <v>94571.199999999997</v>
      </c>
    </row>
    <row r="64" spans="1:5" x14ac:dyDescent="0.3">
      <c r="A64" s="144"/>
      <c r="B64" s="144"/>
      <c r="C64" s="144"/>
      <c r="D64" s="144"/>
      <c r="E64" s="144"/>
    </row>
    <row r="65" spans="1:5" x14ac:dyDescent="0.3">
      <c r="A65" s="158" t="s">
        <v>443</v>
      </c>
      <c r="B65" s="144"/>
      <c r="C65" s="144"/>
      <c r="D65" s="144"/>
      <c r="E65" s="144"/>
    </row>
    <row r="66" spans="1:5" x14ac:dyDescent="0.3">
      <c r="A66" s="149" t="s">
        <v>381</v>
      </c>
      <c r="B66" s="151" t="s">
        <v>444</v>
      </c>
      <c r="C66" s="151" t="s">
        <v>445</v>
      </c>
      <c r="D66" s="151" t="s">
        <v>446</v>
      </c>
      <c r="E66" s="152" t="s">
        <v>447</v>
      </c>
    </row>
    <row r="67" spans="1:5" x14ac:dyDescent="0.3">
      <c r="A67" s="144" t="s">
        <v>52</v>
      </c>
      <c r="B67" s="144">
        <v>220.4</v>
      </c>
      <c r="C67" s="144">
        <v>31.7</v>
      </c>
      <c r="D67" s="144">
        <v>64.599999999999994</v>
      </c>
      <c r="E67" s="144">
        <v>27.1</v>
      </c>
    </row>
    <row r="68" spans="1:5" x14ac:dyDescent="0.3">
      <c r="A68" s="144" t="s">
        <v>54</v>
      </c>
      <c r="B68" s="144">
        <v>94.6</v>
      </c>
      <c r="C68" s="144">
        <v>13.6</v>
      </c>
      <c r="D68" s="144">
        <v>30.1</v>
      </c>
      <c r="E68" s="144">
        <v>27.1</v>
      </c>
    </row>
    <row r="69" spans="1:5" x14ac:dyDescent="0.3">
      <c r="A69" s="144"/>
      <c r="B69" s="144"/>
      <c r="C69" s="144"/>
      <c r="D69" s="144"/>
      <c r="E69" s="144"/>
    </row>
    <row r="70" spans="1:5" x14ac:dyDescent="0.3">
      <c r="A70" s="158" t="s">
        <v>448</v>
      </c>
      <c r="B70" s="144"/>
      <c r="C70" s="144"/>
      <c r="D70" s="144"/>
      <c r="E70" s="144"/>
    </row>
    <row r="71" spans="1:5" x14ac:dyDescent="0.3">
      <c r="A71" s="149" t="s">
        <v>381</v>
      </c>
      <c r="B71" s="151" t="s">
        <v>449</v>
      </c>
      <c r="C71" s="151" t="s">
        <v>450</v>
      </c>
      <c r="D71" s="151" t="s">
        <v>451</v>
      </c>
      <c r="E71" s="152" t="s">
        <v>452</v>
      </c>
    </row>
    <row r="72" spans="1:5" x14ac:dyDescent="0.3">
      <c r="A72" s="144" t="s">
        <v>52</v>
      </c>
      <c r="B72" s="144">
        <v>0</v>
      </c>
      <c r="C72" s="144">
        <v>21.2</v>
      </c>
      <c r="D72" s="144">
        <v>59.1</v>
      </c>
      <c r="E72" s="144">
        <v>15.5</v>
      </c>
    </row>
    <row r="73" spans="1:5" x14ac:dyDescent="0.3">
      <c r="A73" s="144" t="s">
        <v>54</v>
      </c>
      <c r="B73" s="144">
        <v>9.9</v>
      </c>
      <c r="C73" s="144">
        <v>16.5</v>
      </c>
      <c r="D73" s="144">
        <v>28.2</v>
      </c>
      <c r="E73" s="144">
        <v>4.8</v>
      </c>
    </row>
    <row r="74" spans="1:5" x14ac:dyDescent="0.3">
      <c r="A74" s="144"/>
      <c r="B74" s="144"/>
      <c r="C74" s="144"/>
      <c r="D74" s="144"/>
      <c r="E74" s="144"/>
    </row>
    <row r="75" spans="1:5" x14ac:dyDescent="0.3">
      <c r="A75" s="158" t="s">
        <v>453</v>
      </c>
      <c r="B75" s="144"/>
      <c r="C75" s="144"/>
      <c r="D75" s="144"/>
      <c r="E75" s="144"/>
    </row>
    <row r="76" spans="1:5" x14ac:dyDescent="0.3">
      <c r="A76" s="149" t="s">
        <v>454</v>
      </c>
      <c r="B76" s="151" t="s">
        <v>455</v>
      </c>
      <c r="C76" s="151" t="s">
        <v>456</v>
      </c>
      <c r="D76" s="151" t="s">
        <v>457</v>
      </c>
      <c r="E76" s="152" t="s">
        <v>458</v>
      </c>
    </row>
    <row r="77" spans="1:5" x14ac:dyDescent="0.3">
      <c r="A77" s="144">
        <v>2.9</v>
      </c>
      <c r="B77" s="144">
        <v>8.1</v>
      </c>
      <c r="C77" s="144">
        <v>5.4</v>
      </c>
      <c r="D77" s="144">
        <v>19.399999999999999</v>
      </c>
      <c r="E77" s="144">
        <v>91.9</v>
      </c>
    </row>
    <row r="78" spans="1:5" x14ac:dyDescent="0.3">
      <c r="A78" s="144"/>
      <c r="B78" s="144"/>
      <c r="C78" s="144"/>
      <c r="D78" s="144"/>
      <c r="E78" s="144"/>
    </row>
    <row r="79" spans="1:5" x14ac:dyDescent="0.3">
      <c r="A79" s="144"/>
      <c r="B79" s="144"/>
      <c r="C79" s="144"/>
      <c r="D79" s="144"/>
      <c r="E79" s="144"/>
    </row>
    <row r="80" spans="1:5" x14ac:dyDescent="0.3">
      <c r="A80" s="144"/>
      <c r="B80" s="144"/>
      <c r="C80" s="144"/>
      <c r="D80" s="144"/>
      <c r="E80" s="144"/>
    </row>
    <row r="81" spans="1:5" x14ac:dyDescent="0.3">
      <c r="A81" s="144"/>
      <c r="B81" s="144"/>
      <c r="C81" s="144"/>
      <c r="D81" s="144"/>
      <c r="E81" s="144"/>
    </row>
    <row r="82" spans="1:5" x14ac:dyDescent="0.3">
      <c r="A82" s="144"/>
      <c r="B82" s="144"/>
      <c r="C82" s="144"/>
      <c r="D82" s="144"/>
      <c r="E82" s="144"/>
    </row>
    <row r="83" spans="1:5" x14ac:dyDescent="0.3">
      <c r="A83" s="144"/>
      <c r="B83" s="144"/>
      <c r="C83" s="144"/>
      <c r="D83" s="144"/>
      <c r="E83" s="144"/>
    </row>
    <row r="84" spans="1:5" x14ac:dyDescent="0.3">
      <c r="A84" s="144"/>
      <c r="B84" s="144"/>
      <c r="C84" s="144"/>
      <c r="D84" s="144"/>
      <c r="E84" s="144"/>
    </row>
    <row r="85" spans="1:5" x14ac:dyDescent="0.3">
      <c r="A85" s="144"/>
      <c r="B85" s="144"/>
      <c r="C85" s="144"/>
      <c r="D85" s="144"/>
      <c r="E85" s="144"/>
    </row>
    <row r="86" spans="1:5" x14ac:dyDescent="0.3">
      <c r="A86" s="144"/>
      <c r="B86" s="144"/>
      <c r="C86" s="144"/>
      <c r="D86" s="144"/>
      <c r="E86" s="144"/>
    </row>
    <row r="87" spans="1:5" x14ac:dyDescent="0.3">
      <c r="A87" s="144"/>
      <c r="B87" s="144"/>
      <c r="C87" s="144"/>
      <c r="D87" s="144"/>
      <c r="E87" s="144"/>
    </row>
    <row r="88" spans="1:5" x14ac:dyDescent="0.3">
      <c r="A88" s="144"/>
      <c r="B88" s="144"/>
      <c r="C88" s="144"/>
      <c r="D88" s="144"/>
      <c r="E88" s="144"/>
    </row>
    <row r="89" spans="1:5" x14ac:dyDescent="0.3">
      <c r="A89" s="144"/>
      <c r="B89" s="144"/>
      <c r="C89" s="144"/>
      <c r="D89" s="144"/>
      <c r="E89" s="144"/>
    </row>
    <row r="90" spans="1:5" x14ac:dyDescent="0.3">
      <c r="A90" s="144"/>
      <c r="B90" s="144"/>
      <c r="C90" s="144"/>
      <c r="D90" s="144"/>
      <c r="E90" s="144"/>
    </row>
    <row r="91" spans="1:5" x14ac:dyDescent="0.3">
      <c r="A91" s="144"/>
      <c r="B91" s="144"/>
      <c r="C91" s="144"/>
      <c r="D91" s="144"/>
      <c r="E91" s="144"/>
    </row>
    <row r="92" spans="1:5" x14ac:dyDescent="0.3">
      <c r="A92" s="144"/>
      <c r="B92" s="144"/>
      <c r="C92" s="144"/>
      <c r="D92" s="144"/>
      <c r="E92" s="144"/>
    </row>
    <row r="93" spans="1:5" x14ac:dyDescent="0.3">
      <c r="A93" s="144"/>
      <c r="B93" s="144"/>
      <c r="C93" s="144"/>
      <c r="D93" s="144"/>
      <c r="E93" s="144"/>
    </row>
    <row r="94" spans="1:5" x14ac:dyDescent="0.3">
      <c r="A94" s="144"/>
      <c r="B94" s="144"/>
      <c r="C94" s="144"/>
      <c r="D94" s="144"/>
      <c r="E94" s="144"/>
    </row>
    <row r="95" spans="1:5" x14ac:dyDescent="0.3">
      <c r="A95" s="144"/>
      <c r="B95" s="144"/>
      <c r="C95" s="144"/>
      <c r="D95" s="144"/>
      <c r="E95" s="144"/>
    </row>
    <row r="96" spans="1:5" x14ac:dyDescent="0.3">
      <c r="A96" s="144"/>
      <c r="B96" s="144"/>
      <c r="C96" s="144"/>
      <c r="D96" s="144"/>
      <c r="E96" s="144"/>
    </row>
    <row r="97" spans="1:5" x14ac:dyDescent="0.3">
      <c r="A97" s="144"/>
      <c r="B97" s="144"/>
      <c r="C97" s="144"/>
      <c r="D97" s="144"/>
      <c r="E97" s="144"/>
    </row>
    <row r="98" spans="1:5" x14ac:dyDescent="0.3">
      <c r="A98" s="144"/>
      <c r="B98" s="144"/>
      <c r="C98" s="144"/>
      <c r="D98" s="144"/>
      <c r="E98" s="144"/>
    </row>
    <row r="99" spans="1:5" x14ac:dyDescent="0.3">
      <c r="A99" s="144"/>
      <c r="B99" s="144"/>
      <c r="C99" s="144"/>
      <c r="D99" s="144"/>
      <c r="E99" s="144"/>
    </row>
    <row r="100" spans="1:5" x14ac:dyDescent="0.3">
      <c r="A100" s="144"/>
      <c r="B100" s="144"/>
      <c r="C100" s="144"/>
      <c r="D100" s="144"/>
      <c r="E100" s="144"/>
    </row>
    <row r="101" spans="1:5" x14ac:dyDescent="0.3">
      <c r="A101" s="144"/>
      <c r="B101" s="144"/>
      <c r="C101" s="144"/>
      <c r="D101" s="144"/>
      <c r="E101" s="144"/>
    </row>
    <row r="102" spans="1:5" x14ac:dyDescent="0.3">
      <c r="A102" s="144"/>
      <c r="B102" s="144"/>
      <c r="C102" s="144"/>
      <c r="D102" s="144"/>
      <c r="E102" s="144"/>
    </row>
    <row r="103" spans="1:5" x14ac:dyDescent="0.3">
      <c r="A103" s="144"/>
      <c r="B103" s="144"/>
      <c r="C103" s="144"/>
      <c r="D103" s="144"/>
      <c r="E103" s="144"/>
    </row>
    <row r="104" spans="1:5" x14ac:dyDescent="0.3">
      <c r="A104" s="144"/>
      <c r="B104" s="144"/>
      <c r="C104" s="144"/>
      <c r="D104" s="144"/>
      <c r="E104" s="144"/>
    </row>
    <row r="105" spans="1:5" x14ac:dyDescent="0.3">
      <c r="A105" s="144"/>
      <c r="B105" s="144"/>
      <c r="C105" s="144"/>
      <c r="D105" s="144"/>
      <c r="E105" s="144"/>
    </row>
    <row r="106" spans="1:5" x14ac:dyDescent="0.3">
      <c r="A106" s="144"/>
      <c r="B106" s="144"/>
      <c r="C106" s="144"/>
      <c r="D106" s="144"/>
      <c r="E106" s="144"/>
    </row>
    <row r="107" spans="1:5" x14ac:dyDescent="0.3">
      <c r="A107" s="144"/>
      <c r="B107" s="144"/>
      <c r="C107" s="144"/>
      <c r="D107" s="144"/>
      <c r="E107" s="144"/>
    </row>
    <row r="108" spans="1:5" x14ac:dyDescent="0.3">
      <c r="A108" s="144"/>
      <c r="B108" s="144"/>
      <c r="C108" s="144"/>
      <c r="D108" s="144"/>
      <c r="E108" s="144"/>
    </row>
    <row r="109" spans="1:5" x14ac:dyDescent="0.3">
      <c r="A109" s="144"/>
      <c r="B109" s="144"/>
      <c r="C109" s="144"/>
      <c r="D109" s="144"/>
      <c r="E109" s="144"/>
    </row>
    <row r="110" spans="1:5" x14ac:dyDescent="0.3">
      <c r="A110" s="144"/>
      <c r="B110" s="144"/>
      <c r="C110" s="144"/>
      <c r="D110" s="144"/>
      <c r="E110" s="144"/>
    </row>
    <row r="111" spans="1:5" x14ac:dyDescent="0.3">
      <c r="A111" s="144"/>
      <c r="B111" s="144"/>
      <c r="C111" s="144"/>
      <c r="D111" s="144"/>
      <c r="E111" s="144"/>
    </row>
    <row r="112" spans="1:5" x14ac:dyDescent="0.3">
      <c r="A112" s="144"/>
      <c r="B112" s="144"/>
      <c r="C112" s="144"/>
      <c r="D112" s="144"/>
      <c r="E112" s="144"/>
    </row>
    <row r="113" spans="1:5" x14ac:dyDescent="0.3">
      <c r="A113" s="144"/>
      <c r="B113" s="144"/>
      <c r="C113" s="144"/>
      <c r="D113" s="144"/>
      <c r="E113" s="144"/>
    </row>
    <row r="114" spans="1:5" x14ac:dyDescent="0.3">
      <c r="A114" s="144"/>
      <c r="B114" s="144"/>
      <c r="C114" s="144"/>
      <c r="D114" s="144"/>
      <c r="E114" s="144"/>
    </row>
    <row r="115" spans="1:5" x14ac:dyDescent="0.3">
      <c r="A115" s="144"/>
      <c r="B115" s="144"/>
      <c r="C115" s="144"/>
      <c r="D115" s="144"/>
      <c r="E115" s="144"/>
    </row>
    <row r="116" spans="1:5" x14ac:dyDescent="0.3">
      <c r="A116" s="144"/>
      <c r="B116" s="144"/>
      <c r="C116" s="144"/>
      <c r="D116" s="144"/>
      <c r="E116" s="144"/>
    </row>
    <row r="117" spans="1:5" x14ac:dyDescent="0.3">
      <c r="A117" s="144"/>
      <c r="B117" s="144"/>
      <c r="C117" s="144"/>
      <c r="D117" s="144"/>
      <c r="E117" s="144"/>
    </row>
    <row r="118" spans="1:5" x14ac:dyDescent="0.3">
      <c r="A118" s="144"/>
      <c r="B118" s="144"/>
      <c r="C118" s="144"/>
      <c r="D118" s="144"/>
      <c r="E118" s="144"/>
    </row>
    <row r="119" spans="1:5" x14ac:dyDescent="0.3">
      <c r="A119" s="144"/>
      <c r="B119" s="144"/>
      <c r="C119" s="144"/>
      <c r="D119" s="144"/>
      <c r="E119" s="144"/>
    </row>
    <row r="120" spans="1:5" x14ac:dyDescent="0.3">
      <c r="A120" s="144"/>
      <c r="B120" s="144"/>
      <c r="C120" s="144"/>
      <c r="D120" s="144"/>
      <c r="E120" s="144"/>
    </row>
    <row r="121" spans="1:5" x14ac:dyDescent="0.3">
      <c r="A121" s="144"/>
      <c r="B121" s="144"/>
      <c r="C121" s="144"/>
      <c r="D121" s="144"/>
      <c r="E121" s="144"/>
    </row>
    <row r="122" spans="1:5" x14ac:dyDescent="0.3">
      <c r="A122" s="144"/>
      <c r="B122" s="144"/>
      <c r="C122" s="144"/>
      <c r="D122" s="144"/>
      <c r="E122" s="144"/>
    </row>
    <row r="123" spans="1:5" x14ac:dyDescent="0.3">
      <c r="A123" s="144"/>
      <c r="B123" s="144"/>
      <c r="C123" s="144"/>
      <c r="D123" s="144"/>
      <c r="E123" s="144"/>
    </row>
    <row r="124" spans="1:5" x14ac:dyDescent="0.3">
      <c r="A124" s="144"/>
      <c r="B124" s="144"/>
      <c r="C124" s="144"/>
      <c r="D124" s="144"/>
      <c r="E124" s="144"/>
    </row>
    <row r="125" spans="1:5" x14ac:dyDescent="0.3">
      <c r="A125" s="144"/>
      <c r="B125" s="144"/>
      <c r="C125" s="144"/>
      <c r="D125" s="144"/>
      <c r="E125" s="144"/>
    </row>
    <row r="126" spans="1:5" x14ac:dyDescent="0.3">
      <c r="A126" s="144"/>
      <c r="B126" s="144"/>
      <c r="C126" s="144"/>
      <c r="D126" s="144"/>
      <c r="E126" s="144"/>
    </row>
    <row r="127" spans="1:5" x14ac:dyDescent="0.3">
      <c r="A127" s="144"/>
      <c r="B127" s="144"/>
      <c r="C127" s="144"/>
      <c r="D127" s="144"/>
      <c r="E127" s="144"/>
    </row>
    <row r="128" spans="1:5" x14ac:dyDescent="0.3">
      <c r="A128" s="144"/>
      <c r="B128" s="144"/>
      <c r="C128" s="144"/>
      <c r="D128" s="144"/>
      <c r="E128" s="144"/>
    </row>
    <row r="129" spans="1:5" x14ac:dyDescent="0.3">
      <c r="A129" s="144"/>
      <c r="B129" s="144"/>
      <c r="C129" s="144"/>
      <c r="D129" s="144"/>
      <c r="E129" s="144"/>
    </row>
    <row r="130" spans="1:5" x14ac:dyDescent="0.3">
      <c r="A130" s="144"/>
      <c r="B130" s="144"/>
      <c r="C130" s="144"/>
      <c r="D130" s="144"/>
      <c r="E130" s="144"/>
    </row>
    <row r="131" spans="1:5" x14ac:dyDescent="0.3">
      <c r="A131" s="144"/>
      <c r="B131" s="144"/>
      <c r="C131" s="144"/>
      <c r="D131" s="144"/>
      <c r="E131" s="144"/>
    </row>
    <row r="132" spans="1:5" x14ac:dyDescent="0.3">
      <c r="A132" s="144"/>
      <c r="B132" s="144"/>
      <c r="C132" s="144"/>
      <c r="D132" s="144"/>
      <c r="E132" s="144"/>
    </row>
    <row r="133" spans="1:5" x14ac:dyDescent="0.3">
      <c r="A133" s="144"/>
      <c r="B133" s="144"/>
      <c r="C133" s="144"/>
      <c r="D133" s="144"/>
      <c r="E133" s="144"/>
    </row>
    <row r="134" spans="1:5" x14ac:dyDescent="0.3">
      <c r="A134" s="144"/>
      <c r="B134" s="144"/>
      <c r="C134" s="144"/>
      <c r="D134" s="144"/>
      <c r="E134" s="144"/>
    </row>
    <row r="135" spans="1:5" x14ac:dyDescent="0.3">
      <c r="A135" s="144"/>
      <c r="B135" s="144"/>
      <c r="C135" s="144"/>
      <c r="D135" s="144"/>
      <c r="E135" s="144"/>
    </row>
    <row r="136" spans="1:5" x14ac:dyDescent="0.3">
      <c r="A136" s="144"/>
      <c r="B136" s="144"/>
      <c r="C136" s="144"/>
      <c r="D136" s="144"/>
      <c r="E136" s="144"/>
    </row>
    <row r="137" spans="1:5" x14ac:dyDescent="0.3">
      <c r="A137" s="144"/>
      <c r="B137" s="144"/>
      <c r="C137" s="144"/>
      <c r="D137" s="144"/>
      <c r="E137" s="144"/>
    </row>
    <row r="138" spans="1:5" x14ac:dyDescent="0.3">
      <c r="A138" s="144"/>
      <c r="B138" s="144"/>
      <c r="C138" s="144"/>
      <c r="D138" s="144"/>
      <c r="E138" s="144"/>
    </row>
    <row r="139" spans="1:5" x14ac:dyDescent="0.3">
      <c r="A139" s="144"/>
      <c r="B139" s="144"/>
      <c r="C139" s="144"/>
      <c r="D139" s="144"/>
      <c r="E139" s="144"/>
    </row>
    <row r="140" spans="1:5" x14ac:dyDescent="0.3">
      <c r="A140" s="144"/>
      <c r="B140" s="144"/>
      <c r="C140" s="144"/>
      <c r="D140" s="144"/>
      <c r="E140" s="144"/>
    </row>
    <row r="141" spans="1:5" x14ac:dyDescent="0.3">
      <c r="A141" s="144"/>
      <c r="B141" s="144"/>
      <c r="C141" s="144"/>
      <c r="D141" s="144"/>
      <c r="E141" s="144"/>
    </row>
    <row r="142" spans="1:5" x14ac:dyDescent="0.3">
      <c r="A142" s="144"/>
      <c r="B142" s="144"/>
      <c r="C142" s="144"/>
      <c r="D142" s="144"/>
      <c r="E142" s="144"/>
    </row>
    <row r="143" spans="1:5" x14ac:dyDescent="0.3">
      <c r="A143" s="144"/>
      <c r="B143" s="144"/>
      <c r="C143" s="144"/>
      <c r="D143" s="144"/>
      <c r="E143" s="144"/>
    </row>
    <row r="144" spans="1:5" x14ac:dyDescent="0.3">
      <c r="A144" s="144"/>
      <c r="B144" s="144"/>
      <c r="C144" s="144"/>
      <c r="D144" s="144"/>
      <c r="E144" s="144"/>
    </row>
    <row r="145" spans="1:5" x14ac:dyDescent="0.3">
      <c r="A145" s="144"/>
      <c r="B145" s="144"/>
      <c r="C145" s="144"/>
      <c r="D145" s="144"/>
      <c r="E145" s="144"/>
    </row>
    <row r="146" spans="1:5" x14ac:dyDescent="0.3">
      <c r="A146" s="144"/>
      <c r="B146" s="144"/>
      <c r="C146" s="144"/>
      <c r="D146" s="144"/>
      <c r="E146" s="144"/>
    </row>
    <row r="147" spans="1:5" x14ac:dyDescent="0.3">
      <c r="A147" s="144"/>
      <c r="B147" s="144"/>
      <c r="C147" s="144"/>
      <c r="D147" s="144"/>
      <c r="E147" s="144"/>
    </row>
    <row r="148" spans="1:5" x14ac:dyDescent="0.3">
      <c r="A148" s="144"/>
      <c r="B148" s="144"/>
      <c r="C148" s="144"/>
      <c r="D148" s="144"/>
      <c r="E148" s="144"/>
    </row>
    <row r="149" spans="1:5" x14ac:dyDescent="0.3">
      <c r="A149" s="144"/>
      <c r="B149" s="144"/>
      <c r="C149" s="144"/>
      <c r="D149" s="144"/>
      <c r="E149" s="144"/>
    </row>
    <row r="150" spans="1:5" x14ac:dyDescent="0.3">
      <c r="A150" s="144"/>
      <c r="B150" s="144"/>
      <c r="C150" s="144"/>
      <c r="D150" s="144"/>
      <c r="E150" s="144"/>
    </row>
    <row r="151" spans="1:5" x14ac:dyDescent="0.3">
      <c r="A151" s="144"/>
      <c r="B151" s="144"/>
      <c r="C151" s="144"/>
      <c r="D151" s="144"/>
      <c r="E151" s="144"/>
    </row>
    <row r="152" spans="1:5" x14ac:dyDescent="0.3">
      <c r="A152" s="144"/>
      <c r="B152" s="144"/>
      <c r="C152" s="144"/>
      <c r="D152" s="144"/>
      <c r="E152" s="144"/>
    </row>
    <row r="153" spans="1:5" x14ac:dyDescent="0.3">
      <c r="A153" s="144"/>
      <c r="B153" s="144"/>
      <c r="C153" s="144"/>
      <c r="D153" s="144"/>
      <c r="E153" s="144"/>
    </row>
    <row r="154" spans="1:5" x14ac:dyDescent="0.3">
      <c r="A154" s="144"/>
      <c r="B154" s="144"/>
      <c r="C154" s="144"/>
      <c r="D154" s="144"/>
      <c r="E154" s="144"/>
    </row>
    <row r="155" spans="1:5" x14ac:dyDescent="0.3">
      <c r="A155" s="144"/>
      <c r="B155" s="144"/>
      <c r="C155" s="144"/>
      <c r="D155" s="144"/>
      <c r="E155" s="144"/>
    </row>
    <row r="156" spans="1:5" x14ac:dyDescent="0.3">
      <c r="A156" s="144"/>
      <c r="B156" s="144"/>
      <c r="C156" s="144"/>
      <c r="D156" s="144"/>
      <c r="E156" s="144"/>
    </row>
    <row r="157" spans="1:5" x14ac:dyDescent="0.3">
      <c r="A157" s="144"/>
      <c r="B157" s="144"/>
      <c r="C157" s="144"/>
      <c r="D157" s="144"/>
      <c r="E157" s="144"/>
    </row>
    <row r="158" spans="1:5" x14ac:dyDescent="0.3">
      <c r="A158" s="144"/>
      <c r="B158" s="144"/>
      <c r="C158" s="144"/>
      <c r="D158" s="144"/>
      <c r="E158" s="144"/>
    </row>
    <row r="159" spans="1:5" x14ac:dyDescent="0.3">
      <c r="A159" s="144"/>
      <c r="B159" s="144"/>
      <c r="C159" s="144"/>
      <c r="D159" s="144"/>
      <c r="E159" s="144"/>
    </row>
    <row r="160" spans="1:5" x14ac:dyDescent="0.3">
      <c r="A160" s="144"/>
      <c r="B160" s="144"/>
      <c r="C160" s="144"/>
      <c r="D160" s="144"/>
      <c r="E160" s="144"/>
    </row>
    <row r="161" spans="1:5" x14ac:dyDescent="0.3">
      <c r="A161" s="144"/>
      <c r="B161" s="144"/>
      <c r="C161" s="144"/>
      <c r="D161" s="144"/>
      <c r="E161" s="144"/>
    </row>
    <row r="162" spans="1:5" x14ac:dyDescent="0.3">
      <c r="A162" s="144"/>
      <c r="B162" s="144"/>
      <c r="C162" s="144"/>
      <c r="D162" s="144"/>
      <c r="E162" s="144"/>
    </row>
    <row r="163" spans="1:5" x14ac:dyDescent="0.3">
      <c r="A163" s="144"/>
      <c r="B163" s="144"/>
      <c r="C163" s="144"/>
      <c r="D163" s="144"/>
      <c r="E163" s="144"/>
    </row>
    <row r="164" spans="1:5" x14ac:dyDescent="0.3">
      <c r="A164" s="144"/>
      <c r="B164" s="144"/>
      <c r="C164" s="144"/>
      <c r="D164" s="144"/>
      <c r="E164" s="144"/>
    </row>
    <row r="165" spans="1:5" x14ac:dyDescent="0.3">
      <c r="A165" s="144"/>
      <c r="B165" s="144"/>
      <c r="C165" s="144"/>
      <c r="D165" s="144"/>
      <c r="E165" s="144"/>
    </row>
    <row r="166" spans="1:5" x14ac:dyDescent="0.3">
      <c r="A166" s="144"/>
      <c r="B166" s="144"/>
      <c r="C166" s="144"/>
      <c r="D166" s="144"/>
      <c r="E166" s="144"/>
    </row>
    <row r="167" spans="1:5" x14ac:dyDescent="0.3">
      <c r="A167" s="144"/>
      <c r="B167" s="144"/>
      <c r="C167" s="144"/>
      <c r="D167" s="144"/>
      <c r="E167" s="144"/>
    </row>
    <row r="168" spans="1:5" x14ac:dyDescent="0.3">
      <c r="A168" s="144"/>
      <c r="B168" s="144"/>
      <c r="C168" s="144"/>
      <c r="D168" s="144"/>
      <c r="E168" s="144"/>
    </row>
    <row r="169" spans="1:5" x14ac:dyDescent="0.3">
      <c r="A169" s="144"/>
      <c r="B169" s="144"/>
      <c r="C169" s="144"/>
      <c r="D169" s="144"/>
      <c r="E169" s="144"/>
    </row>
    <row r="170" spans="1:5" x14ac:dyDescent="0.3">
      <c r="A170" s="144"/>
      <c r="B170" s="144"/>
      <c r="C170" s="144"/>
      <c r="D170" s="144"/>
      <c r="E170" s="144"/>
    </row>
    <row r="171" spans="1:5" x14ac:dyDescent="0.3">
      <c r="A171" s="144"/>
      <c r="B171" s="144"/>
      <c r="C171" s="144"/>
      <c r="D171" s="144"/>
      <c r="E171" s="144"/>
    </row>
    <row r="172" spans="1:5" x14ac:dyDescent="0.3">
      <c r="A172" s="144"/>
      <c r="B172" s="144"/>
      <c r="C172" s="144"/>
      <c r="D172" s="144"/>
      <c r="E172" s="144"/>
    </row>
    <row r="173" spans="1:5" x14ac:dyDescent="0.3">
      <c r="A173" s="144"/>
      <c r="B173" s="144"/>
      <c r="C173" s="144"/>
      <c r="D173" s="144"/>
      <c r="E173" s="144"/>
    </row>
    <row r="174" spans="1:5" x14ac:dyDescent="0.3">
      <c r="A174" s="144"/>
      <c r="B174" s="144"/>
      <c r="C174" s="144"/>
      <c r="D174" s="144"/>
      <c r="E174" s="144"/>
    </row>
    <row r="175" spans="1:5" x14ac:dyDescent="0.3">
      <c r="A175" s="144"/>
      <c r="B175" s="144"/>
      <c r="C175" s="144"/>
      <c r="D175" s="144"/>
      <c r="E175" s="144"/>
    </row>
    <row r="176" spans="1:5" x14ac:dyDescent="0.3">
      <c r="A176" s="144"/>
      <c r="B176" s="144"/>
      <c r="C176" s="144"/>
      <c r="D176" s="144"/>
      <c r="E176" s="144"/>
    </row>
    <row r="177" spans="1:5" x14ac:dyDescent="0.3">
      <c r="A177" s="144"/>
      <c r="B177" s="144"/>
      <c r="C177" s="144"/>
      <c r="D177" s="144"/>
      <c r="E177" s="144"/>
    </row>
    <row r="178" spans="1:5" x14ac:dyDescent="0.3">
      <c r="A178" s="144"/>
      <c r="B178" s="144"/>
      <c r="C178" s="144"/>
      <c r="D178" s="144"/>
      <c r="E178" s="144"/>
    </row>
    <row r="179" spans="1:5" x14ac:dyDescent="0.3">
      <c r="A179" s="144"/>
      <c r="B179" s="144"/>
      <c r="C179" s="144"/>
      <c r="D179" s="144"/>
      <c r="E179" s="144"/>
    </row>
    <row r="180" spans="1:5" x14ac:dyDescent="0.3">
      <c r="A180" s="144"/>
      <c r="B180" s="144"/>
      <c r="C180" s="144"/>
      <c r="D180" s="144"/>
      <c r="E180" s="144"/>
    </row>
    <row r="181" spans="1:5" x14ac:dyDescent="0.3">
      <c r="A181" s="144"/>
      <c r="B181" s="144"/>
      <c r="C181" s="144"/>
      <c r="D181" s="144"/>
      <c r="E181" s="144"/>
    </row>
    <row r="182" spans="1:5" x14ac:dyDescent="0.3">
      <c r="A182" s="144"/>
      <c r="B182" s="144"/>
      <c r="C182" s="144"/>
      <c r="D182" s="144"/>
      <c r="E182" s="144"/>
    </row>
    <row r="183" spans="1:5" x14ac:dyDescent="0.3">
      <c r="A183" s="144"/>
      <c r="B183" s="144"/>
      <c r="C183" s="144"/>
      <c r="D183" s="144"/>
      <c r="E183" s="144"/>
    </row>
    <row r="184" spans="1:5" x14ac:dyDescent="0.3">
      <c r="A184" s="144"/>
      <c r="B184" s="144"/>
      <c r="C184" s="144"/>
      <c r="D184" s="144"/>
      <c r="E184" s="144"/>
    </row>
    <row r="185" spans="1:5" x14ac:dyDescent="0.3">
      <c r="A185" s="144"/>
      <c r="B185" s="144"/>
      <c r="C185" s="144"/>
      <c r="D185" s="144"/>
      <c r="E185" s="144"/>
    </row>
    <row r="186" spans="1:5" x14ac:dyDescent="0.3">
      <c r="A186" s="144"/>
      <c r="B186" s="144"/>
      <c r="C186" s="144"/>
      <c r="D186" s="144"/>
      <c r="E186" s="144"/>
    </row>
    <row r="187" spans="1:5" x14ac:dyDescent="0.3">
      <c r="A187" s="144"/>
      <c r="B187" s="144"/>
      <c r="C187" s="144"/>
      <c r="D187" s="144"/>
      <c r="E187" s="144"/>
    </row>
    <row r="188" spans="1:5" x14ac:dyDescent="0.3">
      <c r="A188" s="144"/>
      <c r="B188" s="144"/>
      <c r="C188" s="144"/>
      <c r="D188" s="144"/>
      <c r="E188" s="144"/>
    </row>
    <row r="189" spans="1:5" x14ac:dyDescent="0.3">
      <c r="A189" s="144"/>
      <c r="B189" s="144"/>
      <c r="C189" s="144"/>
      <c r="D189" s="144"/>
      <c r="E189" s="144"/>
    </row>
    <row r="190" spans="1:5" x14ac:dyDescent="0.3">
      <c r="A190" s="144"/>
      <c r="B190" s="144"/>
      <c r="C190" s="144"/>
      <c r="D190" s="144"/>
      <c r="E190" s="144"/>
    </row>
    <row r="191" spans="1:5" x14ac:dyDescent="0.3">
      <c r="A191" s="144"/>
      <c r="B191" s="144"/>
      <c r="C191" s="144"/>
      <c r="D191" s="144"/>
      <c r="E191" s="144"/>
    </row>
    <row r="192" spans="1:5" x14ac:dyDescent="0.3">
      <c r="A192" s="144"/>
      <c r="B192" s="144"/>
      <c r="C192" s="144"/>
      <c r="D192" s="144"/>
      <c r="E192" s="144"/>
    </row>
    <row r="193" spans="1:5" x14ac:dyDescent="0.3">
      <c r="A193" s="144"/>
      <c r="B193" s="144"/>
      <c r="C193" s="144"/>
      <c r="D193" s="144"/>
      <c r="E193" s="144"/>
    </row>
    <row r="194" spans="1:5" x14ac:dyDescent="0.3">
      <c r="A194" s="144"/>
      <c r="B194" s="144"/>
      <c r="C194" s="144"/>
      <c r="D194" s="144"/>
      <c r="E194" s="144"/>
    </row>
    <row r="195" spans="1:5" x14ac:dyDescent="0.3">
      <c r="A195" s="144"/>
      <c r="B195" s="144"/>
      <c r="C195" s="144"/>
      <c r="D195" s="144"/>
      <c r="E195" s="144"/>
    </row>
    <row r="196" spans="1:5" x14ac:dyDescent="0.3">
      <c r="A196" s="144"/>
      <c r="B196" s="144"/>
      <c r="C196" s="144"/>
      <c r="D196" s="144"/>
      <c r="E196" s="144"/>
    </row>
    <row r="197" spans="1:5" x14ac:dyDescent="0.3">
      <c r="A197" s="144"/>
      <c r="B197" s="144"/>
      <c r="C197" s="144"/>
      <c r="D197" s="144"/>
      <c r="E197" s="144"/>
    </row>
    <row r="198" spans="1:5" x14ac:dyDescent="0.3">
      <c r="A198" s="144"/>
      <c r="B198" s="144"/>
      <c r="C198" s="144"/>
      <c r="D198" s="144"/>
      <c r="E198" s="144"/>
    </row>
    <row r="199" spans="1:5" x14ac:dyDescent="0.3">
      <c r="A199" s="144"/>
      <c r="B199" s="144"/>
      <c r="C199" s="144"/>
      <c r="D199" s="144"/>
      <c r="E199" s="144"/>
    </row>
    <row r="200" spans="1:5" x14ac:dyDescent="0.3">
      <c r="A200" s="144"/>
      <c r="B200" s="144"/>
      <c r="C200" s="144"/>
      <c r="D200" s="144"/>
      <c r="E200" s="144"/>
    </row>
    <row r="201" spans="1:5" x14ac:dyDescent="0.3">
      <c r="A201" s="144"/>
      <c r="B201" s="144"/>
      <c r="C201" s="144"/>
      <c r="D201" s="144"/>
      <c r="E201" s="144"/>
    </row>
  </sheetData>
  <pageMargins left="0.7" right="0.7" top="0.75" bottom="0.75" header="0.3" footer="0.3"/>
  <pageSetup orientation="portrait" r:id="rId1"/>
</worksheet>
</file>

<file path=customUI/_rels/customUI.xml.rels><?xml version="1.0" encoding="UTF-8" standalone="yes"?>
<Relationships xmlns="http://schemas.openxmlformats.org/package/2006/relationships"><Relationship Id="browser" Type="http://schemas.openxmlformats.org/officeDocument/2006/relationships/image" Target="images/browser.png"/><Relationship Id="speedometer" Type="http://schemas.openxmlformats.org/officeDocument/2006/relationships/image" Target="images/speedometer0.png"/><Relationship Id="settings" Type="http://schemas.openxmlformats.org/officeDocument/2006/relationships/image" Target="images/settings0.png"/><Relationship Id="file" Type="http://schemas.openxmlformats.org/officeDocument/2006/relationships/image" Target="images/file.png"/></Relationships>
</file>

<file path=customUI/_rels/customUI14.xml.rels><?xml version="1.0" encoding="UTF-8" standalone="yes"?>
<Relationships xmlns="http://schemas.openxmlformats.org/package/2006/relationships"><Relationship Id="browser" Type="http://schemas.openxmlformats.org/officeDocument/2006/relationships/image" Target="images/browser0.png"/><Relationship Id="speedometer" Type="http://schemas.openxmlformats.org/officeDocument/2006/relationships/image" Target="images/speedometer.png"/><Relationship Id="settings" Type="http://schemas.openxmlformats.org/officeDocument/2006/relationships/image" Target="images/settings.png"/><Relationship Id="file" Type="http://schemas.openxmlformats.org/officeDocument/2006/relationships/image" Target="images/file0.png"/></Relationships>
</file>

<file path=customUI/customUI.xml><?xml version="1.0" encoding="utf-8"?>
<customUI xmlns="http://schemas.microsoft.com/office/2006/01/customui">
  <ribbon startFromScratch="false">
    <tabs>
      <tab id="SIMNEA_tab" label="Plataforma de cosecha">
        <group id="SIMNEA_group" label="Funciones">
          <button id="lanzar_simulador" label="Configurar simulación" image="settings" size="large" onAction="lanzar_simulador"/>
        </group>
        <group id="planificador_group" label="Planificación">
          <button id="cargar_simulaciones" label="Cargar simulaciones" image="file" size="large" onAction="cargar_simulaciones"/>
          <button id="planificar_btn" label="Planificar cosecha" image="browser" size="large" onAction="planificar_cosecha"/>
          <button id="tablero_btn" label="Tablero de tarifas" image="speedometer" size="large" onAction="lanzar_tablero"/>
        </group>
      </tab>
    </tabs>
  </ribbon>
</customUI>
</file>

<file path=customUI/customUI14.xml><?xml version="1.0" encoding="utf-8"?>
<customUI xmlns="http://schemas.microsoft.com/office/2009/07/customui">
  <ribbon startFromScratch="false">
    <tabs>
      <tab id="SIMNEA_tab" label="Plataforma de cosecha">
        <group id="SIMNEA_group" label="Funciones">
          <button id="lanzar_simulador" label="Configurar simulación" image="settings" size="large" onAction="lanzar_simulador"/>
        </group>
        <group id="planificador_group" label="Planificación">
          <button id="cargar_simulaciones" label="Cargar simulaciones" image="file" size="large" onAction="cargar_simulaciones"/>
          <button id="planificar_btn" label="Planificar cosecha" image="browser" size="large" onAction="planificar_cosecha"/>
          <button id="tablero_btn" label="Tablero de tarifas" image="speedometer" size="large" onAction="lanzar_table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4</vt:i4>
      </vt:variant>
    </vt:vector>
  </HeadingPairs>
  <TitlesOfParts>
    <vt:vector size="23" baseType="lpstr">
      <vt:lpstr>Sitios</vt:lpstr>
      <vt:lpstr>Generales</vt:lpstr>
      <vt:lpstr>Frentes</vt:lpstr>
      <vt:lpstr>Carga Simulaciones</vt:lpstr>
      <vt:lpstr>Expansión_Fechas</vt:lpstr>
      <vt:lpstr>Gantt</vt:lpstr>
      <vt:lpstr>Resumen Volumen</vt:lpstr>
      <vt:lpstr>Resumen Facturación</vt:lpstr>
      <vt:lpstr>Detalles de las Simulaciones</vt:lpstr>
      <vt:lpstr>Sim_FACOIT00145P03149-149</vt:lpstr>
      <vt:lpstr>Sim_FACOIT00145P03150-150</vt:lpstr>
      <vt:lpstr>Sim_FACOIT00145P03161-161</vt:lpstr>
      <vt:lpstr>Sim_FACOIT00145P03135-135</vt:lpstr>
      <vt:lpstr>Sim_FACOIT00145P03157-157</vt:lpstr>
      <vt:lpstr>Sim_FACOIT00145P03158-158</vt:lpstr>
      <vt:lpstr>Sim_FACOIT00145P03162-162</vt:lpstr>
      <vt:lpstr>Sim_FACOIT00145P03219-219</vt:lpstr>
      <vt:lpstr>Sim_FACOIT00145P03220-220</vt:lpstr>
      <vt:lpstr>Sim_FACOIT00145P03160-160</vt:lpstr>
      <vt:lpstr>TablaFrentes</vt:lpstr>
      <vt:lpstr>TablaGenerales</vt:lpstr>
      <vt:lpstr>TablaModelos</vt:lpstr>
      <vt:lpstr>TablaSitios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Lechu</dc:creator>
  <cp:lastModifiedBy>Autor II</cp:lastModifiedBy>
  <cp:lastPrinted>2021-05-11T12:21:52Z</cp:lastPrinted>
  <dcterms:created xsi:type="dcterms:W3CDTF">2021-03-29T18:03:27Z</dcterms:created>
  <dcterms:modified xsi:type="dcterms:W3CDTF">2022-08-24T20:16:26Z</dcterms:modified>
</cp:coreProperties>
</file>